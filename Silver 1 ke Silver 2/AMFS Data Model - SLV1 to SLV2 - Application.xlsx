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AMFS-CloudDataLakehouse/Shared Documents/Phase 1/0.2 Deliverables/0.2 Data Discovery/Data Model/02. SILVER TIER 2/"/>
    </mc:Choice>
  </mc:AlternateContent>
  <xr:revisionPtr revIDLastSave="3917" documentId="11_C7EBA6A2D9127FA39D91A9CA32F8CD971A81C65C" xr6:coauthVersionLast="47" xr6:coauthVersionMax="47" xr10:uidLastSave="{7F11ECB1-8EBF-46B4-9256-26A551107414}"/>
  <bookViews>
    <workbookView xWindow="-108" yWindow="-108" windowWidth="23256" windowHeight="13896" tabRatio="633" activeTab="1" xr2:uid="{00000000-000D-0000-FFFF-FFFF00000000}"/>
  </bookViews>
  <sheets>
    <sheet name="Home" sheetId="1" r:id="rId1"/>
    <sheet name="FACT_MASTER_APPL" sheetId="6" r:id="rId2"/>
    <sheet name="FACT_POL_LIFE" sheetId="25" state="hidden" r:id="rId3"/>
  </sheets>
  <definedNames>
    <definedName name="_xlnm._FilterDatabase" localSheetId="1" hidden="1">FACT_MASTER_APPL!$A$4:$K$53</definedName>
    <definedName name="_xlnm._FilterDatabase" localSheetId="2" hidden="1">FACT_POL_LIFE!$A$4:$K$12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11" i="1"/>
  <c r="A12" i="1"/>
  <c r="A13" i="1"/>
  <c r="A10" i="1"/>
  <c r="A14" i="1"/>
  <c r="A15" i="1"/>
  <c r="A3" i="1"/>
  <c r="A4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<sst xmlns="http://schemas.openxmlformats.org/spreadsheetml/2006/main" count="385" uniqueCount="114">
  <si>
    <t>No</t>
  </si>
  <si>
    <t>Table</t>
  </si>
  <si>
    <t>Date Added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</si>
  <si>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</si>
  <si>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</si>
  <si>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</si>
  <si>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</si>
  <si>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</si>
  <si>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</si>
  <si>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</si>
  <si>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</si>
  <si>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</si>
  <si>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</si>
  <si>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</si>
  <si>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</si>
  <si>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FACT_MASTER_POL</t>
  </si>
  <si>
    <t>v</t>
  </si>
  <si>
    <t>RETURN TO HOME</t>
  </si>
  <si>
    <t>Silver 1</t>
  </si>
  <si>
    <t>Silver 2</t>
  </si>
  <si>
    <t>Schema Name</t>
  </si>
  <si>
    <t>Table Name</t>
  </si>
  <si>
    <t>Field Name</t>
  </si>
  <si>
    <t>Physical Field Name</t>
  </si>
  <si>
    <t>Logical Field Name</t>
  </si>
  <si>
    <t>Data Type</t>
  </si>
  <si>
    <t>SQL Command</t>
  </si>
  <si>
    <t>Transformation Rule</t>
  </si>
  <si>
    <t>Join Condition</t>
  </si>
  <si>
    <t>SLV_POLICY</t>
  </si>
  <si>
    <t>DIFF_HK</t>
  </si>
  <si>
    <t>Surrogate key, uniquely identifies each record</t>
  </si>
  <si>
    <t>VARCHAR</t>
  </si>
  <si>
    <t>HASH(SRC_SYSTEM,POLICY_NO,BATCH_DT)</t>
  </si>
  <si>
    <t>SLV_RLS</t>
  </si>
  <si>
    <t>LFPPMLB</t>
  </si>
  <si>
    <t>POLICY_NO</t>
  </si>
  <si>
    <t>Policy Number</t>
  </si>
  <si>
    <t>CHANNEL_CD</t>
  </si>
  <si>
    <t>Channel Code</t>
  </si>
  <si>
    <t>Hardcode 'IBC'</t>
  </si>
  <si>
    <t>PYMT_MODE</t>
  </si>
  <si>
    <t>PYMT_MODE_CD</t>
  </si>
  <si>
    <t>PRODUCT_CD</t>
  </si>
  <si>
    <t>FA_CD</t>
  </si>
  <si>
    <t>CCY_CD</t>
  </si>
  <si>
    <t>POLICY_CCY_CD</t>
  </si>
  <si>
    <t>Policy Currency Code</t>
  </si>
  <si>
    <t>POLICY_TYPE</t>
  </si>
  <si>
    <t>Policy type Life/Health</t>
  </si>
  <si>
    <t>Hardcode 'LIFE'</t>
  </si>
  <si>
    <t>LUMP_SUM_PREMI</t>
  </si>
  <si>
    <t>LUMP_SUM_PREMI_AMT</t>
  </si>
  <si>
    <t>LIFE_SUM_INSURED</t>
  </si>
  <si>
    <t>LIFE_SUM_INSURED_AMT</t>
  </si>
  <si>
    <t>Amount of life insurance</t>
  </si>
  <si>
    <t>TOTAL_SUM_INSURED</t>
  </si>
  <si>
    <t>TOTAL_SUM_INSURED_AMT</t>
  </si>
  <si>
    <t>Total amount of insurance</t>
  </si>
  <si>
    <t>APE_AMT</t>
  </si>
  <si>
    <t>SRC_SYSTEM</t>
  </si>
  <si>
    <t>Source System</t>
  </si>
  <si>
    <t>Hardcode 'RLS'</t>
  </si>
  <si>
    <t>SLV_DMTM</t>
  </si>
  <si>
    <t>POLICY</t>
  </si>
  <si>
    <t>AGENT_CD</t>
  </si>
  <si>
    <t>TOTAL_PREMI_AMT</t>
  </si>
  <si>
    <t>LOAD_TS</t>
  </si>
  <si>
    <t>Timestamp the record was loaded</t>
  </si>
  <si>
    <t>TIMESTAMP_NTZ</t>
  </si>
  <si>
    <t>System-generated at load time (CURRENT_TIMESTAMP())</t>
  </si>
  <si>
    <t>n/a</t>
  </si>
  <si>
    <t>JOB_ID</t>
  </si>
  <si>
    <t>Job batch identifier</t>
  </si>
  <si>
    <t>Populated from orchestration/job run context (e.g. Airflow/DBT run ID)</t>
  </si>
  <si>
    <t>BATCH_DT</t>
  </si>
  <si>
    <t>Operational logdate from source (H-1 daily)</t>
  </si>
  <si>
    <t>Derived from source system's operational logdate (H-1 batch), format YYYYMMDD</t>
  </si>
  <si>
    <t>FACT_POL_LIFE</t>
  </si>
  <si>
    <t>SLV_APPLICATION</t>
  </si>
  <si>
    <t>FACT_APPLICATION</t>
  </si>
  <si>
    <t>PRODUCT_SUBCHANNEL</t>
  </si>
  <si>
    <t>IS_PENDING</t>
  </si>
  <si>
    <t>APPLICATION_STATUS</t>
  </si>
  <si>
    <t>CASE WHEN APPLICATION_STATUS IN ('00', '01','02','04','05','06','07','10','R') THEN 1 ELSE 0 END</t>
  </si>
  <si>
    <t>LEFT JOIN SLV_POLICY.DIM_PYMT_MODE DPM ON FACT_APPLICATION.PYMT_MODE_CD = DPM.PYMT_MODE_CD AND DPM.IS_ACTIVE = 1</t>
  </si>
  <si>
    <t>MODAL_PREMI_EXCL_RTU</t>
  </si>
  <si>
    <t>MODAL_PREMI_EXCL_RTU_AMT</t>
  </si>
  <si>
    <t>MODAL_PREMI_RTU</t>
  </si>
  <si>
    <t>MODAL_PREMI_RTU_AMT</t>
  </si>
  <si>
    <t>AGENT_1_CD</t>
  </si>
  <si>
    <t xml:space="preserve">CASE WHEN PRODUCT_CD NOT IN ('MSC1','MUL1')
THEN ((MODAL_PREMI_EXCL_RTU * DPM.SORT_KEY) + (MODAL_PREMI_RTU * DPM.SORT_KEY) + (0.1 * LUMP_SUM_PREMI)) * FCR.BOOK_RATE
ELSE (MODAL_PREMI_EXCL_RTU * 0.1 * FACR.BOOK_RATE)
END
 </t>
  </si>
  <si>
    <t>LEFT JOIN SLV_POLICY.DIM_PYMT_MODE DPM ON FACT_APPLICATION.PYMT_MODE_CD = DPM.PYMT_MODE_CD AND DPM.IS_ACTIVE = 1
LEFT JOIN SLV_FINACT.FACT_CCY_RATE FCR ON FCR.CCY_CD = FACT_APPLICATION.POLICY_CCY_CD AND FCR.CCY_EFF_DT = FACT_APPLICATION.PERIOD_KEY</t>
  </si>
  <si>
    <t>POLICY_STATUS_CD</t>
  </si>
  <si>
    <t>Hardcode as 1</t>
  </si>
  <si>
    <t>Hardcode as 'DMTM'</t>
  </si>
  <si>
    <t>Hardcode NULL</t>
  </si>
  <si>
    <t>CASE WHEN PRODUCT_SUBCHANNEL IN ('MMS','AXA MFS TM') THEN TOTAL_PREMI_AMT * DPM.SORT_KEY
WHEN PRODUCT_SUBCHANNEL IN ('AXA MFS In-branch FA', 'AXA MFS In-branch LP') THEN 0.5 * TOTAL_PREMI_AMT * DPM.SORT_KEY
END</t>
  </si>
  <si>
    <t>CASE WHEN LP.FA_CD IS NULL THEN 'AXA MFS In-branch LP' 
ELSE 'AXA MFS In-branch FA' END</t>
  </si>
  <si>
    <t>SLV_CLP</t>
  </si>
  <si>
    <t>Hardcode as 'CLP'</t>
  </si>
  <si>
    <t>APPLICATION_NO</t>
  </si>
  <si>
    <t>PARTICIPANT_NO</t>
  </si>
  <si>
    <t>PLAN_CD</t>
  </si>
  <si>
    <t>APPLICATION_STATUS_CD</t>
  </si>
  <si>
    <t>WHERE POLICY_STATUS_CD IN ('PE','EX','CA')</t>
  </si>
  <si>
    <t>SUBMIT_DT</t>
  </si>
  <si>
    <t>APPLICATION_SUBMISSION_DAILY</t>
  </si>
  <si>
    <t>POLICY_CONVENTIONAL</t>
  </si>
  <si>
    <t>LEFT JOIN SLV_MAN.ALTERNATE_PRODUCT_GRP ALTERNATE ON SLV_DMTM.POLICY.PRODUCT_CD = ALTERNATE.PRODUCT_CD
LEFT JOIN SLV_MAN.MASTERPRODUCT MASTERPRODUCT ON SLV_DMTM.POLICY.PRODUCT_CD = MASTERPRODUCT.PRODUCT_CD</t>
  </si>
  <si>
    <t xml:space="preserve">CASE 
WHEN ALTERNATE.PRODUCT_GRP IN ('AMMS30','MTR','AMMS100') OR POLICY.PRODUCT_CD LIKE 'SJTR50LV%' THEN 'New Bundling'
WHEN ALTERNATE.PRODUCT_GRP IN ('MMS','IBC') AND ALTERNATE.PRODUCT_CD &lt;&gt; 'AKPE_BPJS' 
               AND (POLICY.BRANCH_CD NOT IN ('AXA0AMFS',NULL,'AXA AMFS','404BVT','000000','BM.001','ASI') OR POLICY.PRODUCT_CD IN ('AMMSLP','AMMSLP1','AMMSLP2','AMMSLP3','AMMSLP4','AMMSLP5')) THEN 'MMS'
WHEN POLICY.PRODUCT_CD = 'CLPMTP' THEN 'CLP &amp; Others'
WHEN MASTERPRODUCT.CHANNEL = 'Bancassurance' THEN 'AXA MFS In-branch FA'
WHEN ALTERNATE.PRODUCT_CD IS NULL THEN 'AXA MFS TM'
</t>
  </si>
  <si>
    <t>APPLICATION_CCY</t>
  </si>
  <si>
    <t>BOOLEAN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</si>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</sst>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BBE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F1FD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2" fillId="10" borderId="2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/>
    </xf>
    <xf numFmtId="0" fontId="5" fillId="0" borderId="0" xfId="2" applyFont="1"/>
    <xf numFmtId="0" fontId="2" fillId="9" borderId="1" xfId="0" applyFont="1" applyFill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2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10" borderId="1" xfId="0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/>
    </xf>
    <xf numFmtId="0" fontId="2" fillId="12" borderId="0" xfId="0" applyFont="1" applyFill="1" applyAlignment="1">
      <alignment vertical="top"/>
    </xf>
    <xf numFmtId="0" fontId="2" fillId="12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vertical="top"/>
    </xf>
  </cellXfs>
  <cellStyles count="3">
    <cellStyle name="Hyperlink" xfId="2" builtinId="8"/>
    <cellStyle name="Normal" xfId="0" builtinId="0"/>
    <cellStyle name="Normal 2" xfId="1" xr:uid="{F28FC834-AC84-413D-B382-E42F17838A97}"/>
  </cellStyles>
  <dxfs count="17"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9"/>
        <color theme="10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CF1FD"/>
      <color rgb="FFD9E1F2"/>
      <color rgb="FFFFF2CC"/>
      <color rgb="FFE2EFDA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1CED5-15D9-4A85-BA09-74945F4F4E56}" name="Table13" displayName="Table13" ref="A1:O15" totalsRowShown="0" headerRowDxfId="16" dataDxfId="15">
  <autoFilter ref="A1:O15" xr:uid="{FEC1CED5-15D9-4A85-BA09-74945F4F4E56}"/>
  <tableColumns count="15">
    <tableColumn id="1" xr3:uid="{4AA6B64E-9054-42ED-8B35-7098CB365755}" name="No" dataDxfId="14">
      <calculatedColumnFormula>ROW()-1</calculatedColumnFormula>
    </tableColumn>
    <tableColumn id="2" xr3:uid="{5CDA2426-0533-4554-AB46-42D78BCFFDB4}" name="Table" dataDxfId="13"/>
    <tableColumn id="9" xr3:uid="{D77C2854-ED2C-4102-9961-57F6BA9589ED}" name="Date Added" dataDxfId="12"/>
    <tableColumn id="3" xr3:uid="{90E81B83-BD9B-42F4-A6CA-5C08C2DACA8B}" name="UC 1" dataDxfId="11"/>
    <tableColumn id="4" xr3:uid="{53B73997-684B-41C3-8F7B-957AA83E08B0}" name="UC 2" dataDxfId="10"/>
    <tableColumn id="10" xr3:uid="{777607D3-D57B-4C43-B240-CB36CDBB2C49}" name="UC 3" dataDxfId="9"/>
    <tableColumn id="11" xr3:uid="{54815469-FCD3-4AD0-8F94-75B9751E0725}" name="UC 4" dataDxfId="8"/>
    <tableColumn id="12" xr3:uid="{455EE293-7870-4993-BADA-5EF43B46E22F}" name="UC 5" dataDxfId="7"/>
    <tableColumn id="13" xr3:uid="{612ED55B-AC07-4336-AB6D-46BF8EBE6B51}" name="UC 6" dataDxfId="6"/>
    <tableColumn id="5" xr3:uid="{8ECDB860-E040-43A4-B3D1-24E44E6DF3A3}" name="UC 7" dataDxfId="5"/>
    <tableColumn id="6" xr3:uid="{4A0BB36D-D41A-490B-8E3B-4DA8813298CC}" name="UC 8" dataDxfId="4"/>
    <tableColumn id="14" xr3:uid="{C91841F3-08F5-47D1-BD1B-C6E7B9916F45}" name="UC 9" dataDxfId="3"/>
    <tableColumn id="15" xr3:uid="{5C6C24B8-FABA-414A-90F9-B923283DDCC7}" name="UC 10" dataDxfId="2"/>
    <tableColumn id="7" xr3:uid="{C5AEC060-B87A-4B50-92B1-8D52154FECC5}" name="UC 11" dataDxfId="1"/>
    <tableColumn id="8" xr3:uid="{C53B2386-3D22-4359-95E3-6647A47A3DAD}" name="UC 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activeCell="S21" sqref="S21"/>
    </sheetView>
  </sheetViews>
  <sheetFormatPr defaultColWidth="9.21875" defaultRowHeight="12" x14ac:dyDescent="0.3"/>
  <cols>
    <col min="1" max="1" width="7.77734375" style="19" bestFit="1" customWidth="1"/>
    <col min="2" max="2" width="14.88671875" style="18" bestFit="1" customWidth="1"/>
    <col min="3" max="3" width="8.77734375" style="20" bestFit="1" customWidth="1"/>
    <col min="4" max="12" width="8.21875" style="19" bestFit="1" customWidth="1"/>
    <col min="13" max="15" width="9.21875" style="19" bestFit="1" customWidth="1"/>
    <col min="16" max="16384" width="9.21875" style="18"/>
  </cols>
  <sheetData>
    <row r="1" spans="1:15" x14ac:dyDescent="0.3">
      <c r="A1" s="19" t="s">
        <v>0</v>
      </c>
      <c r="B1" s="18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</row>
    <row r="2" spans="1:15" x14ac:dyDescent="0.3">
      <c r="A2" s="19">
        <f>ROW()-1</f>
        <v>1</v>
      </c>
      <c r="B2" s="21" t="s">
        <v>80</v>
      </c>
      <c r="C2" s="22">
        <v>46252</v>
      </c>
      <c r="D2" s="19" t="s">
        <v>16</v>
      </c>
      <c r="E2" s="19" t="s">
        <v>16</v>
      </c>
      <c r="M2" s="19" t="s">
        <v>16</v>
      </c>
    </row>
    <row r="3" spans="1:15" x14ac:dyDescent="0.3">
      <c r="A3" s="19">
        <f t="shared" ref="A3:A9" si="0">ROW()-1</f>
        <v>2</v>
      </c>
      <c r="B3" s="21"/>
      <c r="C3" s="22"/>
    </row>
    <row r="4" spans="1:15" x14ac:dyDescent="0.3">
      <c r="A4" s="19">
        <f t="shared" si="0"/>
        <v>3</v>
      </c>
      <c r="B4" s="21"/>
      <c r="C4" s="22"/>
    </row>
    <row r="5" spans="1:15" x14ac:dyDescent="0.3">
      <c r="A5" s="19">
        <f>ROW()-1</f>
        <v>4</v>
      </c>
      <c r="B5" s="21"/>
      <c r="C5" s="22"/>
    </row>
    <row r="6" spans="1:15" x14ac:dyDescent="0.3">
      <c r="A6" s="19">
        <f t="shared" si="0"/>
        <v>5</v>
      </c>
      <c r="B6" s="21"/>
      <c r="C6" s="22"/>
    </row>
    <row r="7" spans="1:15" x14ac:dyDescent="0.3">
      <c r="A7" s="19">
        <f t="shared" si="0"/>
        <v>6</v>
      </c>
      <c r="B7" s="21"/>
      <c r="C7" s="22"/>
    </row>
    <row r="8" spans="1:15" x14ac:dyDescent="0.3">
      <c r="A8" s="19">
        <f t="shared" si="0"/>
        <v>7</v>
      </c>
      <c r="B8" s="21"/>
      <c r="C8" s="22"/>
    </row>
    <row r="9" spans="1:15" x14ac:dyDescent="0.3">
      <c r="A9" s="19">
        <f t="shared" si="0"/>
        <v>8</v>
      </c>
      <c r="B9" s="21"/>
      <c r="C9" s="22"/>
    </row>
    <row r="10" spans="1:15" x14ac:dyDescent="0.3">
      <c r="A10" s="19">
        <f t="shared" ref="A10:A15" si="1">ROW()-1</f>
        <v>9</v>
      </c>
      <c r="B10" s="21"/>
      <c r="C10" s="22"/>
    </row>
    <row r="11" spans="1:15" x14ac:dyDescent="0.3">
      <c r="A11" s="19">
        <f t="shared" ref="A11:A13" si="2">ROW()-1</f>
        <v>10</v>
      </c>
      <c r="B11" s="21"/>
      <c r="C11" s="22"/>
    </row>
    <row r="12" spans="1:15" x14ac:dyDescent="0.3">
      <c r="A12" s="19">
        <f t="shared" si="2"/>
        <v>11</v>
      </c>
      <c r="B12" s="21"/>
      <c r="C12" s="22"/>
    </row>
    <row r="13" spans="1:15" x14ac:dyDescent="0.3">
      <c r="A13" s="19">
        <f t="shared" si="2"/>
        <v>12</v>
      </c>
      <c r="B13" s="21"/>
      <c r="C13" s="22"/>
    </row>
    <row r="14" spans="1:15" x14ac:dyDescent="0.3">
      <c r="A14" s="19">
        <f t="shared" si="1"/>
        <v>13</v>
      </c>
      <c r="B14" s="21"/>
      <c r="C14" s="22"/>
    </row>
    <row r="15" spans="1:15" x14ac:dyDescent="0.3">
      <c r="A15" s="19">
        <f t="shared" si="1"/>
        <v>14</v>
      </c>
      <c r="B15" s="21"/>
      <c r="C15" s="22"/>
    </row>
  </sheetData>
  <hyperlinks>
    <hyperlink ref="B2" location="FACT_MASTER_POL!A1" display="FACT_MASTER_POL" xr:uid="{71FD7E12-1D94-4633-9FC4-9F2F03F6C41C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DDE8-4215-4EB6-A08E-09D8234EAD1A}">
  <dimension ref="A1:K53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1" sqref="F11"/>
    </sheetView>
  </sheetViews>
  <sheetFormatPr defaultColWidth="8.77734375" defaultRowHeight="12" x14ac:dyDescent="0.3"/>
  <cols>
    <col min="1" max="1" width="12.77734375" style="1" bestFit="1" customWidth="1"/>
    <col min="2" max="2" width="24.44140625" style="1" bestFit="1" customWidth="1"/>
    <col min="3" max="3" width="18.6640625" style="1" bestFit="1" customWidth="1"/>
    <col min="4" max="4" width="13.77734375" style="1" bestFit="1" customWidth="1"/>
    <col min="5" max="5" width="16.5546875" style="1" customWidth="1"/>
    <col min="6" max="6" width="22.6640625" style="1" bestFit="1" customWidth="1"/>
    <col min="7" max="7" width="33" style="1" customWidth="1"/>
    <col min="8" max="8" width="12.33203125" style="1" bestFit="1" customWidth="1"/>
    <col min="9" max="9" width="18" style="1" bestFit="1" customWidth="1"/>
    <col min="10" max="10" width="40.77734375" style="1" customWidth="1"/>
    <col min="11" max="11" width="35.77734375" style="1" customWidth="1"/>
    <col min="12" max="12" width="31.33203125" style="1" customWidth="1"/>
    <col min="13" max="16384" width="8.77734375" style="1"/>
  </cols>
  <sheetData>
    <row r="1" spans="1:11" x14ac:dyDescent="0.25">
      <c r="A1" s="16" t="s">
        <v>17</v>
      </c>
    </row>
    <row r="3" spans="1:11" x14ac:dyDescent="0.3">
      <c r="A3" s="29" t="s">
        <v>18</v>
      </c>
      <c r="B3" s="29"/>
      <c r="C3" s="29"/>
      <c r="D3" s="30" t="s">
        <v>19</v>
      </c>
      <c r="E3" s="30"/>
      <c r="F3" s="30"/>
      <c r="G3" s="30"/>
      <c r="H3" s="30"/>
      <c r="I3" s="30"/>
      <c r="J3" s="30"/>
      <c r="K3" s="30"/>
    </row>
    <row r="4" spans="1:11" x14ac:dyDescent="0.3">
      <c r="A4" s="2" t="s">
        <v>20</v>
      </c>
      <c r="B4" s="2" t="s">
        <v>21</v>
      </c>
      <c r="C4" s="2" t="s">
        <v>22</v>
      </c>
      <c r="D4" s="6" t="s">
        <v>20</v>
      </c>
      <c r="E4" s="6" t="s">
        <v>21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</row>
    <row r="5" spans="1:11" x14ac:dyDescent="0.3">
      <c r="A5" s="4"/>
      <c r="B5" s="4"/>
      <c r="C5" s="4"/>
      <c r="D5" s="3" t="s">
        <v>79</v>
      </c>
      <c r="E5" s="3" t="s">
        <v>80</v>
      </c>
      <c r="F5" s="10" t="s">
        <v>30</v>
      </c>
      <c r="G5" s="3" t="s">
        <v>31</v>
      </c>
      <c r="H5" s="7" t="s">
        <v>32</v>
      </c>
      <c r="J5" s="3" t="s">
        <v>33</v>
      </c>
      <c r="K5" s="5"/>
    </row>
    <row r="6" spans="1:11" x14ac:dyDescent="0.3">
      <c r="A6" s="13" t="s">
        <v>34</v>
      </c>
      <c r="B6" s="13" t="s">
        <v>107</v>
      </c>
      <c r="C6" s="13" t="s">
        <v>36</v>
      </c>
      <c r="D6" s="13" t="s">
        <v>79</v>
      </c>
      <c r="E6" s="13" t="s">
        <v>80</v>
      </c>
      <c r="F6" s="13" t="s">
        <v>36</v>
      </c>
      <c r="G6" s="13"/>
      <c r="H6" s="13"/>
      <c r="I6" s="13"/>
      <c r="J6" s="13"/>
      <c r="K6" s="12"/>
    </row>
    <row r="7" spans="1:11" x14ac:dyDescent="0.3">
      <c r="A7" s="13" t="s">
        <v>34</v>
      </c>
      <c r="B7" s="13" t="s">
        <v>107</v>
      </c>
      <c r="C7" s="13" t="s">
        <v>111</v>
      </c>
      <c r="D7" s="13" t="s">
        <v>79</v>
      </c>
      <c r="E7" s="13" t="s">
        <v>80</v>
      </c>
      <c r="F7" s="13" t="s">
        <v>46</v>
      </c>
      <c r="G7" s="13"/>
      <c r="H7" s="13"/>
      <c r="I7" s="13"/>
      <c r="J7" s="13"/>
      <c r="K7" s="12"/>
    </row>
    <row r="8" spans="1:11" x14ac:dyDescent="0.3">
      <c r="A8" s="13" t="s">
        <v>34</v>
      </c>
      <c r="B8" s="13" t="s">
        <v>107</v>
      </c>
      <c r="C8" s="13" t="s">
        <v>43</v>
      </c>
      <c r="D8" s="13" t="s">
        <v>79</v>
      </c>
      <c r="E8" s="13" t="s">
        <v>80</v>
      </c>
      <c r="F8" s="13" t="s">
        <v>43</v>
      </c>
      <c r="G8" s="13"/>
      <c r="H8" s="13"/>
      <c r="I8" s="13"/>
      <c r="J8" s="13"/>
      <c r="K8" s="12"/>
    </row>
    <row r="9" spans="1:11" ht="36" x14ac:dyDescent="0.3">
      <c r="A9" s="13"/>
      <c r="B9" s="13" t="s">
        <v>107</v>
      </c>
      <c r="C9" s="13"/>
      <c r="D9" s="13" t="s">
        <v>79</v>
      </c>
      <c r="E9" s="13" t="s">
        <v>80</v>
      </c>
      <c r="F9" s="13" t="s">
        <v>81</v>
      </c>
      <c r="G9" s="13"/>
      <c r="H9" s="13"/>
      <c r="I9" s="13"/>
      <c r="J9" s="23" t="s">
        <v>98</v>
      </c>
      <c r="K9" s="12"/>
    </row>
    <row r="10" spans="1:11" s="27" customFormat="1" x14ac:dyDescent="0.3">
      <c r="A10" s="8"/>
      <c r="B10" s="8"/>
      <c r="C10" s="8"/>
      <c r="D10" s="13" t="s">
        <v>79</v>
      </c>
      <c r="E10" s="13" t="s">
        <v>80</v>
      </c>
      <c r="F10" s="13" t="s">
        <v>101</v>
      </c>
      <c r="G10" s="13"/>
      <c r="H10" s="13"/>
      <c r="I10" s="13"/>
      <c r="J10" s="23"/>
      <c r="K10" s="12"/>
    </row>
    <row r="11" spans="1:11" x14ac:dyDescent="0.3">
      <c r="A11" s="13" t="s">
        <v>34</v>
      </c>
      <c r="B11" s="13" t="s">
        <v>107</v>
      </c>
      <c r="C11" s="13" t="s">
        <v>83</v>
      </c>
      <c r="D11" s="13" t="s">
        <v>79</v>
      </c>
      <c r="E11" s="13" t="s">
        <v>80</v>
      </c>
      <c r="F11" s="13" t="s">
        <v>104</v>
      </c>
      <c r="G11" s="13"/>
      <c r="H11" s="13"/>
      <c r="I11" s="13"/>
      <c r="J11" s="23"/>
      <c r="K11" s="12"/>
    </row>
    <row r="12" spans="1:11" x14ac:dyDescent="0.3">
      <c r="A12" s="13" t="s">
        <v>34</v>
      </c>
      <c r="B12" s="13" t="s">
        <v>107</v>
      </c>
      <c r="C12" s="13" t="s">
        <v>106</v>
      </c>
      <c r="D12" s="13" t="s">
        <v>79</v>
      </c>
      <c r="E12" s="13" t="s">
        <v>80</v>
      </c>
      <c r="F12" s="13" t="s">
        <v>106</v>
      </c>
      <c r="G12" s="13"/>
      <c r="H12" s="13"/>
      <c r="I12" s="13"/>
      <c r="J12" s="23"/>
      <c r="K12" s="12"/>
    </row>
    <row r="13" spans="1:11" x14ac:dyDescent="0.3">
      <c r="A13" s="13" t="s">
        <v>34</v>
      </c>
      <c r="B13" s="13" t="s">
        <v>107</v>
      </c>
      <c r="C13" s="13" t="s">
        <v>41</v>
      </c>
      <c r="D13" s="13" t="s">
        <v>79</v>
      </c>
      <c r="E13" s="13" t="s">
        <v>80</v>
      </c>
      <c r="F13" s="13" t="s">
        <v>42</v>
      </c>
      <c r="G13" s="13"/>
      <c r="H13" s="13"/>
      <c r="I13" s="13"/>
      <c r="J13" s="23"/>
      <c r="K13" s="12"/>
    </row>
    <row r="14" spans="1:11" x14ac:dyDescent="0.3">
      <c r="A14" s="13" t="s">
        <v>34</v>
      </c>
      <c r="B14" s="13" t="s">
        <v>107</v>
      </c>
      <c r="C14" s="13" t="s">
        <v>90</v>
      </c>
      <c r="D14" s="13" t="s">
        <v>79</v>
      </c>
      <c r="E14" s="13" t="s">
        <v>80</v>
      </c>
      <c r="F14" s="13" t="s">
        <v>44</v>
      </c>
      <c r="G14" s="13"/>
      <c r="H14" s="13"/>
      <c r="I14" s="13"/>
      <c r="J14" s="23"/>
      <c r="K14" s="12"/>
    </row>
    <row r="15" spans="1:11" ht="24" x14ac:dyDescent="0.3">
      <c r="A15" s="13" t="s">
        <v>34</v>
      </c>
      <c r="B15" s="13" t="s">
        <v>107</v>
      </c>
      <c r="C15" s="13" t="s">
        <v>83</v>
      </c>
      <c r="D15" s="13" t="s">
        <v>79</v>
      </c>
      <c r="E15" s="13" t="s">
        <v>80</v>
      </c>
      <c r="F15" s="13" t="s">
        <v>82</v>
      </c>
      <c r="G15" s="13"/>
      <c r="H15" s="13"/>
      <c r="I15" s="13"/>
      <c r="J15" s="23" t="s">
        <v>84</v>
      </c>
      <c r="K15" s="12"/>
    </row>
    <row r="16" spans="1:11" x14ac:dyDescent="0.3">
      <c r="A16" s="13" t="s">
        <v>34</v>
      </c>
      <c r="B16" s="13" t="s">
        <v>107</v>
      </c>
      <c r="C16" s="13" t="s">
        <v>86</v>
      </c>
      <c r="D16" s="13" t="s">
        <v>79</v>
      </c>
      <c r="E16" s="13" t="s">
        <v>80</v>
      </c>
      <c r="F16" s="13" t="s">
        <v>87</v>
      </c>
      <c r="G16" s="13"/>
      <c r="H16" s="13"/>
      <c r="I16" s="13"/>
      <c r="J16" s="23"/>
      <c r="K16" s="12"/>
    </row>
    <row r="17" spans="1:11" x14ac:dyDescent="0.3">
      <c r="A17" s="13" t="s">
        <v>34</v>
      </c>
      <c r="B17" s="13" t="s">
        <v>107</v>
      </c>
      <c r="C17" s="13" t="s">
        <v>88</v>
      </c>
      <c r="D17" s="13" t="s">
        <v>79</v>
      </c>
      <c r="E17" s="13" t="s">
        <v>80</v>
      </c>
      <c r="F17" s="13" t="s">
        <v>89</v>
      </c>
      <c r="G17" s="13"/>
      <c r="H17" s="13"/>
      <c r="I17" s="13"/>
      <c r="J17" s="23"/>
      <c r="K17" s="12"/>
    </row>
    <row r="18" spans="1:11" x14ac:dyDescent="0.3">
      <c r="A18" s="13" t="s">
        <v>34</v>
      </c>
      <c r="B18" s="13" t="s">
        <v>107</v>
      </c>
      <c r="C18" s="13" t="s">
        <v>51</v>
      </c>
      <c r="D18" s="13" t="s">
        <v>79</v>
      </c>
      <c r="E18" s="13" t="s">
        <v>80</v>
      </c>
      <c r="F18" s="13" t="s">
        <v>52</v>
      </c>
      <c r="G18" s="13"/>
      <c r="H18" s="13"/>
      <c r="I18" s="13"/>
      <c r="J18" s="23"/>
      <c r="K18" s="12"/>
    </row>
    <row r="19" spans="1:11" ht="96" x14ac:dyDescent="0.3">
      <c r="A19" s="4"/>
      <c r="B19" s="4"/>
      <c r="C19" s="4"/>
      <c r="D19" s="13" t="s">
        <v>79</v>
      </c>
      <c r="E19" s="13" t="s">
        <v>80</v>
      </c>
      <c r="F19" s="13" t="s">
        <v>59</v>
      </c>
      <c r="G19" s="13"/>
      <c r="H19" s="13"/>
      <c r="I19" s="13"/>
      <c r="J19" s="23" t="s">
        <v>91</v>
      </c>
      <c r="K19" s="17" t="s">
        <v>92</v>
      </c>
    </row>
    <row r="20" spans="1:11" x14ac:dyDescent="0.3">
      <c r="A20" s="4"/>
      <c r="B20" s="4"/>
      <c r="C20" s="4"/>
      <c r="D20" s="13" t="s">
        <v>79</v>
      </c>
      <c r="E20" s="13" t="s">
        <v>80</v>
      </c>
      <c r="F20" s="13" t="s">
        <v>60</v>
      </c>
      <c r="G20" s="13"/>
      <c r="H20" s="13"/>
      <c r="I20" s="13"/>
      <c r="J20" s="13" t="s">
        <v>62</v>
      </c>
      <c r="K20" s="12"/>
    </row>
    <row r="21" spans="1:11" x14ac:dyDescent="0.3">
      <c r="A21" s="15" t="s">
        <v>63</v>
      </c>
      <c r="B21" s="15" t="s">
        <v>64</v>
      </c>
      <c r="C21" s="15" t="s">
        <v>36</v>
      </c>
      <c r="D21" s="15" t="s">
        <v>79</v>
      </c>
      <c r="E21" s="15" t="s">
        <v>80</v>
      </c>
      <c r="F21" s="15" t="s">
        <v>36</v>
      </c>
      <c r="G21" s="15"/>
      <c r="H21" s="15"/>
      <c r="I21" s="15"/>
      <c r="J21" s="15"/>
      <c r="K21" s="11" t="s">
        <v>105</v>
      </c>
    </row>
    <row r="22" spans="1:11" s="31" customFormat="1" x14ac:dyDescent="0.3">
      <c r="A22" s="15" t="s">
        <v>63</v>
      </c>
      <c r="B22" s="15" t="s">
        <v>64</v>
      </c>
      <c r="C22" s="15" t="s">
        <v>45</v>
      </c>
      <c r="D22" s="15" t="s">
        <v>79</v>
      </c>
      <c r="E22" s="15" t="s">
        <v>80</v>
      </c>
      <c r="F22" s="15" t="s">
        <v>46</v>
      </c>
      <c r="G22" s="15"/>
      <c r="H22" s="15"/>
      <c r="I22" s="15"/>
      <c r="J22" s="15"/>
      <c r="K22" s="15"/>
    </row>
    <row r="23" spans="1:11" x14ac:dyDescent="0.3">
      <c r="A23" s="15" t="s">
        <v>63</v>
      </c>
      <c r="B23" s="15" t="s">
        <v>64</v>
      </c>
      <c r="C23" s="15" t="s">
        <v>43</v>
      </c>
      <c r="D23" s="15" t="s">
        <v>79</v>
      </c>
      <c r="E23" s="15" t="s">
        <v>80</v>
      </c>
      <c r="F23" s="15" t="s">
        <v>43</v>
      </c>
      <c r="G23" s="15"/>
      <c r="H23" s="15"/>
      <c r="I23" s="15"/>
      <c r="J23" s="15"/>
      <c r="K23" s="11"/>
    </row>
    <row r="24" spans="1:11" ht="228" x14ac:dyDescent="0.3">
      <c r="A24" s="8"/>
      <c r="B24" s="8"/>
      <c r="C24" s="8"/>
      <c r="D24" s="15" t="s">
        <v>79</v>
      </c>
      <c r="E24" s="15" t="s">
        <v>80</v>
      </c>
      <c r="F24" s="15" t="s">
        <v>81</v>
      </c>
      <c r="G24" s="15"/>
      <c r="H24" s="15"/>
      <c r="I24" s="15"/>
      <c r="J24" s="25" t="s">
        <v>110</v>
      </c>
      <c r="K24" s="25" t="s">
        <v>109</v>
      </c>
    </row>
    <row r="25" spans="1:11" s="27" customFormat="1" x14ac:dyDescent="0.3">
      <c r="A25" s="8"/>
      <c r="B25" s="8"/>
      <c r="C25" s="8"/>
      <c r="D25" s="15" t="s">
        <v>79</v>
      </c>
      <c r="E25" s="15" t="s">
        <v>80</v>
      </c>
      <c r="F25" s="15" t="s">
        <v>101</v>
      </c>
      <c r="G25" s="15"/>
      <c r="H25" s="15"/>
      <c r="I25" s="15"/>
      <c r="J25" s="25"/>
      <c r="K25" s="25"/>
    </row>
    <row r="26" spans="1:11" x14ac:dyDescent="0.3">
      <c r="A26" s="15" t="s">
        <v>63</v>
      </c>
      <c r="B26" s="15" t="s">
        <v>64</v>
      </c>
      <c r="C26" s="15" t="s">
        <v>93</v>
      </c>
      <c r="D26" s="15" t="s">
        <v>79</v>
      </c>
      <c r="E26" s="15" t="s">
        <v>80</v>
      </c>
      <c r="F26" s="15" t="s">
        <v>104</v>
      </c>
      <c r="G26" s="15"/>
      <c r="H26" s="15"/>
      <c r="I26" s="15"/>
      <c r="J26" s="25"/>
      <c r="K26" s="15"/>
    </row>
    <row r="27" spans="1:11" x14ac:dyDescent="0.3">
      <c r="A27" s="15" t="s">
        <v>63</v>
      </c>
      <c r="B27" s="15" t="s">
        <v>64</v>
      </c>
      <c r="C27" s="15" t="s">
        <v>106</v>
      </c>
      <c r="D27" s="15" t="s">
        <v>79</v>
      </c>
      <c r="E27" s="15" t="s">
        <v>80</v>
      </c>
      <c r="F27" s="15" t="s">
        <v>106</v>
      </c>
      <c r="G27" s="15"/>
      <c r="H27" s="15"/>
      <c r="I27" s="15"/>
      <c r="J27" s="25"/>
      <c r="K27" s="15"/>
    </row>
    <row r="28" spans="1:11" x14ac:dyDescent="0.3">
      <c r="A28" s="15" t="s">
        <v>63</v>
      </c>
      <c r="B28" s="15" t="s">
        <v>64</v>
      </c>
      <c r="C28" s="15" t="s">
        <v>41</v>
      </c>
      <c r="D28" s="15" t="s">
        <v>79</v>
      </c>
      <c r="E28" s="15" t="s">
        <v>80</v>
      </c>
      <c r="F28" s="15" t="s">
        <v>42</v>
      </c>
      <c r="G28" s="15"/>
      <c r="H28" s="15"/>
      <c r="I28" s="15"/>
      <c r="J28" s="15"/>
      <c r="K28" s="11"/>
    </row>
    <row r="29" spans="1:11" x14ac:dyDescent="0.3">
      <c r="A29" s="15" t="s">
        <v>63</v>
      </c>
      <c r="B29" s="15" t="s">
        <v>64</v>
      </c>
      <c r="C29" s="15" t="s">
        <v>65</v>
      </c>
      <c r="D29" s="15" t="s">
        <v>79</v>
      </c>
      <c r="E29" s="15" t="s">
        <v>80</v>
      </c>
      <c r="F29" s="15" t="s">
        <v>44</v>
      </c>
      <c r="G29" s="15"/>
      <c r="H29" s="15"/>
      <c r="I29" s="15"/>
      <c r="J29" s="15"/>
      <c r="K29" s="11"/>
    </row>
    <row r="30" spans="1:11" x14ac:dyDescent="0.3">
      <c r="A30" s="8"/>
      <c r="B30" s="8"/>
      <c r="C30" s="8"/>
      <c r="D30" s="15" t="s">
        <v>79</v>
      </c>
      <c r="E30" s="15" t="s">
        <v>80</v>
      </c>
      <c r="F30" s="15" t="s">
        <v>82</v>
      </c>
      <c r="G30" s="15"/>
      <c r="H30" s="15"/>
      <c r="I30" s="15"/>
      <c r="J30" s="15" t="s">
        <v>94</v>
      </c>
      <c r="K30" s="15"/>
    </row>
    <row r="31" spans="1:11" x14ac:dyDescent="0.3">
      <c r="A31" s="8"/>
      <c r="B31" s="8"/>
      <c r="C31" s="8"/>
      <c r="D31" s="15" t="s">
        <v>79</v>
      </c>
      <c r="E31" s="15" t="s">
        <v>80</v>
      </c>
      <c r="F31" s="15" t="s">
        <v>87</v>
      </c>
      <c r="G31" s="15"/>
      <c r="H31" s="15"/>
      <c r="I31" s="15"/>
      <c r="J31" s="15" t="s">
        <v>96</v>
      </c>
      <c r="K31" s="11"/>
    </row>
    <row r="32" spans="1:11" x14ac:dyDescent="0.3">
      <c r="A32" s="8"/>
      <c r="B32" s="8"/>
      <c r="C32" s="8"/>
      <c r="D32" s="15" t="s">
        <v>79</v>
      </c>
      <c r="E32" s="15" t="s">
        <v>80</v>
      </c>
      <c r="F32" s="15" t="s">
        <v>89</v>
      </c>
      <c r="G32" s="15"/>
      <c r="H32" s="15"/>
      <c r="I32" s="15"/>
      <c r="J32" s="15" t="s">
        <v>96</v>
      </c>
      <c r="K32" s="15"/>
    </row>
    <row r="33" spans="1:11" x14ac:dyDescent="0.3">
      <c r="A33" s="8"/>
      <c r="B33" s="8"/>
      <c r="C33" s="8"/>
      <c r="D33" s="15" t="s">
        <v>79</v>
      </c>
      <c r="E33" s="15" t="s">
        <v>80</v>
      </c>
      <c r="F33" s="15" t="s">
        <v>52</v>
      </c>
      <c r="G33" s="15"/>
      <c r="H33" s="15"/>
      <c r="I33" s="15"/>
      <c r="J33" s="15" t="s">
        <v>96</v>
      </c>
      <c r="K33" s="15"/>
    </row>
    <row r="34" spans="1:11" ht="72" x14ac:dyDescent="0.3">
      <c r="A34" s="15" t="s">
        <v>63</v>
      </c>
      <c r="B34" s="15" t="s">
        <v>64</v>
      </c>
      <c r="C34" s="15" t="s">
        <v>66</v>
      </c>
      <c r="D34" s="15" t="s">
        <v>79</v>
      </c>
      <c r="E34" s="15" t="s">
        <v>80</v>
      </c>
      <c r="F34" s="15" t="s">
        <v>59</v>
      </c>
      <c r="G34" s="15"/>
      <c r="H34" s="15"/>
      <c r="I34" s="15"/>
      <c r="J34" s="25" t="s">
        <v>97</v>
      </c>
      <c r="K34" s="25" t="s">
        <v>85</v>
      </c>
    </row>
    <row r="35" spans="1:11" x14ac:dyDescent="0.3">
      <c r="A35" s="8"/>
      <c r="B35" s="8"/>
      <c r="C35" s="8"/>
      <c r="D35" s="15" t="s">
        <v>79</v>
      </c>
      <c r="E35" s="15" t="s">
        <v>80</v>
      </c>
      <c r="F35" s="15" t="s">
        <v>60</v>
      </c>
      <c r="G35" s="15"/>
      <c r="H35" s="15"/>
      <c r="I35" s="15"/>
      <c r="J35" s="15" t="s">
        <v>95</v>
      </c>
      <c r="K35" s="15"/>
    </row>
    <row r="36" spans="1:11" s="27" customFormat="1" x14ac:dyDescent="0.3">
      <c r="A36" s="26" t="s">
        <v>99</v>
      </c>
      <c r="B36" s="26" t="s">
        <v>108</v>
      </c>
      <c r="C36" s="26" t="s">
        <v>102</v>
      </c>
      <c r="D36" s="26" t="s">
        <v>79</v>
      </c>
      <c r="E36" s="26" t="s">
        <v>80</v>
      </c>
      <c r="F36" s="26" t="s">
        <v>36</v>
      </c>
      <c r="G36" s="26"/>
      <c r="H36" s="26"/>
      <c r="I36" s="26"/>
      <c r="J36" s="26"/>
      <c r="K36" s="26"/>
    </row>
    <row r="37" spans="1:11" s="27" customFormat="1" x14ac:dyDescent="0.3">
      <c r="A37" s="8"/>
      <c r="B37" s="8"/>
      <c r="C37" s="8"/>
      <c r="D37" s="26" t="s">
        <v>79</v>
      </c>
      <c r="E37" s="26" t="s">
        <v>80</v>
      </c>
      <c r="F37" s="26" t="s">
        <v>46</v>
      </c>
      <c r="G37" s="26"/>
      <c r="H37" s="26"/>
      <c r="I37" s="26"/>
      <c r="J37" s="26"/>
      <c r="K37" s="26"/>
    </row>
    <row r="38" spans="1:11" s="27" customFormat="1" x14ac:dyDescent="0.3">
      <c r="A38" s="26" t="s">
        <v>99</v>
      </c>
      <c r="B38" s="26" t="s">
        <v>108</v>
      </c>
      <c r="C38" s="26" t="s">
        <v>103</v>
      </c>
      <c r="D38" s="26" t="s">
        <v>79</v>
      </c>
      <c r="E38" s="26" t="s">
        <v>80</v>
      </c>
      <c r="F38" s="26" t="s">
        <v>43</v>
      </c>
      <c r="G38" s="26"/>
      <c r="H38" s="26" t="s">
        <v>32</v>
      </c>
      <c r="I38" s="26"/>
      <c r="J38" s="26"/>
      <c r="K38" s="26"/>
    </row>
    <row r="39" spans="1:11" s="27" customFormat="1" x14ac:dyDescent="0.3">
      <c r="A39" s="8"/>
      <c r="B39" s="8"/>
      <c r="C39" s="8"/>
      <c r="D39" s="26" t="s">
        <v>79</v>
      </c>
      <c r="E39" s="26" t="s">
        <v>80</v>
      </c>
      <c r="F39" s="26" t="s">
        <v>81</v>
      </c>
      <c r="G39" s="26"/>
      <c r="H39" s="26" t="s">
        <v>32</v>
      </c>
      <c r="I39" s="26"/>
      <c r="J39" s="28"/>
      <c r="K39" s="28"/>
    </row>
    <row r="40" spans="1:11" s="27" customFormat="1" x14ac:dyDescent="0.3">
      <c r="A40" s="26" t="s">
        <v>99</v>
      </c>
      <c r="B40" s="26" t="s">
        <v>108</v>
      </c>
      <c r="C40" s="26" t="s">
        <v>101</v>
      </c>
      <c r="D40" s="26" t="s">
        <v>79</v>
      </c>
      <c r="E40" s="26" t="s">
        <v>80</v>
      </c>
      <c r="F40" s="26" t="s">
        <v>101</v>
      </c>
      <c r="G40" s="26"/>
      <c r="H40" s="26" t="s">
        <v>32</v>
      </c>
      <c r="I40" s="26"/>
      <c r="J40" s="28"/>
      <c r="K40" s="26"/>
    </row>
    <row r="41" spans="1:11" x14ac:dyDescent="0.3">
      <c r="A41" s="26" t="s">
        <v>99</v>
      </c>
      <c r="B41" s="26" t="s">
        <v>108</v>
      </c>
      <c r="C41" s="26" t="s">
        <v>83</v>
      </c>
      <c r="D41" s="26" t="s">
        <v>79</v>
      </c>
      <c r="E41" s="26" t="s">
        <v>80</v>
      </c>
      <c r="F41" s="26" t="s">
        <v>104</v>
      </c>
      <c r="G41" s="26"/>
      <c r="H41" s="26" t="s">
        <v>32</v>
      </c>
      <c r="I41" s="26"/>
      <c r="J41" s="28"/>
      <c r="K41" s="26"/>
    </row>
    <row r="42" spans="1:11" x14ac:dyDescent="0.3">
      <c r="A42" s="8"/>
      <c r="B42" s="8"/>
      <c r="C42" s="8"/>
      <c r="D42" s="26" t="s">
        <v>79</v>
      </c>
      <c r="E42" s="26" t="s">
        <v>80</v>
      </c>
      <c r="F42" s="26" t="s">
        <v>106</v>
      </c>
      <c r="G42" s="26"/>
      <c r="H42" s="26" t="s">
        <v>69</v>
      </c>
      <c r="I42" s="26"/>
      <c r="J42" s="28"/>
      <c r="K42" s="26"/>
    </row>
    <row r="43" spans="1:11" s="27" customFormat="1" x14ac:dyDescent="0.3">
      <c r="A43" s="8"/>
      <c r="B43" s="8"/>
      <c r="C43" s="8"/>
      <c r="D43" s="26" t="s">
        <v>79</v>
      </c>
      <c r="E43" s="26" t="s">
        <v>80</v>
      </c>
      <c r="F43" s="26" t="s">
        <v>42</v>
      </c>
      <c r="G43" s="26"/>
      <c r="H43" s="26" t="s">
        <v>32</v>
      </c>
      <c r="I43" s="26"/>
      <c r="J43" s="28"/>
      <c r="K43" s="26"/>
    </row>
    <row r="44" spans="1:11" s="27" customFormat="1" x14ac:dyDescent="0.3">
      <c r="A44" s="8"/>
      <c r="B44" s="8"/>
      <c r="C44" s="8"/>
      <c r="D44" s="26" t="s">
        <v>79</v>
      </c>
      <c r="E44" s="26" t="s">
        <v>80</v>
      </c>
      <c r="F44" s="26" t="s">
        <v>44</v>
      </c>
      <c r="G44" s="26"/>
      <c r="H44" s="26" t="s">
        <v>32</v>
      </c>
      <c r="I44" s="26"/>
      <c r="J44" s="26"/>
      <c r="K44" s="26"/>
    </row>
    <row r="45" spans="1:11" s="27" customFormat="1" x14ac:dyDescent="0.3">
      <c r="A45" s="8"/>
      <c r="B45" s="8"/>
      <c r="C45" s="8"/>
      <c r="D45" s="26" t="s">
        <v>79</v>
      </c>
      <c r="E45" s="26" t="s">
        <v>80</v>
      </c>
      <c r="F45" s="26" t="s">
        <v>82</v>
      </c>
      <c r="G45" s="26"/>
      <c r="H45" s="26" t="s">
        <v>112</v>
      </c>
      <c r="I45" s="26"/>
      <c r="J45" s="26"/>
      <c r="K45" s="26"/>
    </row>
    <row r="46" spans="1:11" s="27" customFormat="1" x14ac:dyDescent="0.3">
      <c r="A46" s="8"/>
      <c r="B46" s="8"/>
      <c r="C46" s="8"/>
      <c r="D46" s="26" t="s">
        <v>79</v>
      </c>
      <c r="E46" s="26" t="s">
        <v>80</v>
      </c>
      <c r="F46" s="26" t="s">
        <v>87</v>
      </c>
      <c r="G46" s="26"/>
      <c r="H46" s="26" t="s">
        <v>113</v>
      </c>
      <c r="I46" s="26"/>
      <c r="J46" s="26"/>
      <c r="K46" s="26"/>
    </row>
    <row r="47" spans="1:11" s="27" customFormat="1" x14ac:dyDescent="0.3">
      <c r="A47" s="8"/>
      <c r="B47" s="8"/>
      <c r="C47" s="8"/>
      <c r="D47" s="26" t="s">
        <v>79</v>
      </c>
      <c r="E47" s="26" t="s">
        <v>80</v>
      </c>
      <c r="F47" s="26" t="s">
        <v>89</v>
      </c>
      <c r="G47" s="26"/>
      <c r="H47" s="26" t="s">
        <v>113</v>
      </c>
      <c r="I47" s="26"/>
      <c r="J47" s="26"/>
      <c r="K47" s="26"/>
    </row>
    <row r="48" spans="1:11" s="27" customFormat="1" x14ac:dyDescent="0.3">
      <c r="A48" s="8"/>
      <c r="B48" s="8"/>
      <c r="C48" s="8"/>
      <c r="D48" s="26" t="s">
        <v>79</v>
      </c>
      <c r="E48" s="26" t="s">
        <v>80</v>
      </c>
      <c r="F48" s="26" t="s">
        <v>52</v>
      </c>
      <c r="G48" s="26"/>
      <c r="H48" s="26" t="s">
        <v>113</v>
      </c>
      <c r="I48" s="26"/>
      <c r="J48" s="26"/>
      <c r="K48" s="26"/>
    </row>
    <row r="49" spans="1:11" s="27" customFormat="1" x14ac:dyDescent="0.3">
      <c r="A49" s="8"/>
      <c r="B49" s="8"/>
      <c r="C49" s="8"/>
      <c r="D49" s="26" t="s">
        <v>79</v>
      </c>
      <c r="E49" s="26" t="s">
        <v>80</v>
      </c>
      <c r="F49" s="26" t="s">
        <v>59</v>
      </c>
      <c r="G49" s="26"/>
      <c r="H49" s="26" t="s">
        <v>113</v>
      </c>
      <c r="I49" s="26"/>
      <c r="J49" s="28"/>
      <c r="K49" s="28"/>
    </row>
    <row r="50" spans="1:11" s="27" customFormat="1" x14ac:dyDescent="0.3">
      <c r="A50" s="8"/>
      <c r="B50" s="8"/>
      <c r="C50" s="8"/>
      <c r="D50" s="26" t="s">
        <v>79</v>
      </c>
      <c r="E50" s="26" t="s">
        <v>80</v>
      </c>
      <c r="F50" s="26" t="s">
        <v>60</v>
      </c>
      <c r="G50" s="26"/>
      <c r="H50" s="26" t="s">
        <v>32</v>
      </c>
      <c r="I50" s="26"/>
      <c r="J50" s="26" t="s">
        <v>100</v>
      </c>
      <c r="K50" s="26"/>
    </row>
    <row r="51" spans="1:11" x14ac:dyDescent="0.3">
      <c r="A51" s="8"/>
      <c r="B51" s="8"/>
      <c r="C51" s="8"/>
      <c r="D51" s="3" t="s">
        <v>29</v>
      </c>
      <c r="E51" s="3" t="s">
        <v>15</v>
      </c>
      <c r="F51" s="5" t="s">
        <v>67</v>
      </c>
      <c r="G51" s="5" t="s">
        <v>68</v>
      </c>
      <c r="H51" s="7" t="s">
        <v>69</v>
      </c>
      <c r="I51" s="3"/>
      <c r="J51" s="9" t="s">
        <v>70</v>
      </c>
      <c r="K51" s="9" t="s">
        <v>71</v>
      </c>
    </row>
    <row r="52" spans="1:11" ht="24" x14ac:dyDescent="0.3">
      <c r="A52" s="8"/>
      <c r="B52" s="8"/>
      <c r="C52" s="8"/>
      <c r="D52" s="3" t="s">
        <v>29</v>
      </c>
      <c r="E52" s="3" t="s">
        <v>15</v>
      </c>
      <c r="F52" s="5" t="s">
        <v>72</v>
      </c>
      <c r="G52" s="5" t="s">
        <v>73</v>
      </c>
      <c r="H52" s="7" t="s">
        <v>32</v>
      </c>
      <c r="I52" s="3"/>
      <c r="J52" s="9" t="s">
        <v>74</v>
      </c>
      <c r="K52" s="9" t="s">
        <v>71</v>
      </c>
    </row>
    <row r="53" spans="1:11" ht="24" x14ac:dyDescent="0.3">
      <c r="A53" s="8"/>
      <c r="B53" s="8"/>
      <c r="C53" s="8"/>
      <c r="D53" s="3" t="s">
        <v>29</v>
      </c>
      <c r="E53" s="3" t="s">
        <v>15</v>
      </c>
      <c r="F53" s="5" t="s">
        <v>75</v>
      </c>
      <c r="G53" s="5" t="s">
        <v>76</v>
      </c>
      <c r="H53" s="7" t="s">
        <v>32</v>
      </c>
      <c r="I53" s="3"/>
      <c r="J53" s="9" t="s">
        <v>77</v>
      </c>
      <c r="K53" s="9" t="s">
        <v>71</v>
      </c>
    </row>
  </sheetData>
  <autoFilter ref="A4:K53" xr:uid="{58DDDDE8-4215-4EB6-A08E-09D8234EAD1A}"/>
  <mergeCells count="2">
    <mergeCell ref="A3:C3"/>
    <mergeCell ref="D3:K3"/>
  </mergeCells>
  <hyperlinks>
    <hyperlink ref="A1" location="Home!B1" display="RETURN TO HOME" xr:uid="{F7297C5E-30B2-4181-864E-BD9A854BCF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B550-876D-42C0-890E-3237919D9928}">
  <dimension ref="A1:K15"/>
  <sheetViews>
    <sheetView workbookViewId="0">
      <selection activeCell="D10" sqref="D10:G11"/>
    </sheetView>
  </sheetViews>
  <sheetFormatPr defaultColWidth="8.77734375" defaultRowHeight="12" x14ac:dyDescent="0.3"/>
  <cols>
    <col min="1" max="1" width="12.77734375" style="1" bestFit="1" customWidth="1"/>
    <col min="2" max="2" width="24.5546875" style="1" customWidth="1"/>
    <col min="3" max="3" width="20" style="1" bestFit="1" customWidth="1"/>
    <col min="4" max="4" width="13.77734375" style="1" bestFit="1" customWidth="1"/>
    <col min="5" max="5" width="16.5546875" style="1" customWidth="1"/>
    <col min="6" max="6" width="21.44140625" style="1" bestFit="1" customWidth="1"/>
    <col min="7" max="7" width="33" style="1" customWidth="1"/>
    <col min="8" max="8" width="12.21875" style="1" bestFit="1" customWidth="1"/>
    <col min="9" max="9" width="18" style="1" bestFit="1" customWidth="1"/>
    <col min="10" max="10" width="40.77734375" style="1" customWidth="1"/>
    <col min="11" max="11" width="35.77734375" style="1" customWidth="1"/>
    <col min="12" max="16384" width="8.77734375" style="1"/>
  </cols>
  <sheetData>
    <row r="1" spans="1:11" x14ac:dyDescent="0.25">
      <c r="A1" s="16" t="s">
        <v>17</v>
      </c>
    </row>
    <row r="3" spans="1:11" x14ac:dyDescent="0.3">
      <c r="A3" s="29" t="s">
        <v>18</v>
      </c>
      <c r="B3" s="29"/>
      <c r="C3" s="29"/>
      <c r="D3" s="30" t="s">
        <v>19</v>
      </c>
      <c r="E3" s="30"/>
      <c r="F3" s="30"/>
      <c r="G3" s="30"/>
      <c r="H3" s="30"/>
      <c r="I3" s="30"/>
      <c r="J3" s="30"/>
      <c r="K3" s="30"/>
    </row>
    <row r="4" spans="1:11" x14ac:dyDescent="0.3">
      <c r="A4" s="2" t="s">
        <v>20</v>
      </c>
      <c r="B4" s="2" t="s">
        <v>21</v>
      </c>
      <c r="C4" s="2" t="s">
        <v>22</v>
      </c>
      <c r="D4" s="6" t="s">
        <v>20</v>
      </c>
      <c r="E4" s="6" t="s">
        <v>21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</row>
    <row r="5" spans="1:11" x14ac:dyDescent="0.3">
      <c r="A5" s="4"/>
      <c r="B5" s="4"/>
      <c r="C5" s="4"/>
      <c r="D5" s="3" t="s">
        <v>29</v>
      </c>
      <c r="E5" s="3" t="s">
        <v>78</v>
      </c>
      <c r="F5" s="10" t="s">
        <v>30</v>
      </c>
      <c r="G5" s="3" t="s">
        <v>31</v>
      </c>
      <c r="H5" s="7" t="s">
        <v>32</v>
      </c>
      <c r="J5" s="3" t="s">
        <v>33</v>
      </c>
      <c r="K5" s="5"/>
    </row>
    <row r="6" spans="1:11" x14ac:dyDescent="0.3">
      <c r="A6" s="13" t="s">
        <v>34</v>
      </c>
      <c r="B6" s="13" t="s">
        <v>35</v>
      </c>
      <c r="C6" s="13" t="s">
        <v>36</v>
      </c>
      <c r="D6" s="13" t="s">
        <v>29</v>
      </c>
      <c r="E6" s="13" t="s">
        <v>78</v>
      </c>
      <c r="F6" s="13" t="s">
        <v>36</v>
      </c>
      <c r="G6" s="13" t="s">
        <v>37</v>
      </c>
      <c r="H6" s="13" t="s">
        <v>32</v>
      </c>
      <c r="I6" s="13"/>
      <c r="J6" s="13"/>
      <c r="K6" s="12"/>
    </row>
    <row r="7" spans="1:11" x14ac:dyDescent="0.3">
      <c r="A7" s="4"/>
      <c r="B7" s="4"/>
      <c r="C7" s="4"/>
      <c r="D7" s="13" t="s">
        <v>29</v>
      </c>
      <c r="E7" s="13" t="s">
        <v>78</v>
      </c>
      <c r="F7" s="13" t="s">
        <v>38</v>
      </c>
      <c r="G7" s="13" t="s">
        <v>39</v>
      </c>
      <c r="H7" s="13" t="s">
        <v>32</v>
      </c>
      <c r="I7" s="13" t="s">
        <v>40</v>
      </c>
      <c r="J7" s="13"/>
      <c r="K7" s="12"/>
    </row>
    <row r="8" spans="1:11" x14ac:dyDescent="0.3">
      <c r="A8" s="13" t="s">
        <v>34</v>
      </c>
      <c r="B8" s="13" t="s">
        <v>35</v>
      </c>
      <c r="C8" s="13" t="s">
        <v>45</v>
      </c>
      <c r="D8" s="13" t="s">
        <v>29</v>
      </c>
      <c r="E8" s="13" t="s">
        <v>78</v>
      </c>
      <c r="F8" s="13" t="s">
        <v>46</v>
      </c>
      <c r="G8" s="13" t="s">
        <v>47</v>
      </c>
      <c r="H8" s="13" t="s">
        <v>32</v>
      </c>
      <c r="I8" s="13"/>
      <c r="J8" s="13"/>
      <c r="K8" s="12"/>
    </row>
    <row r="9" spans="1:11" x14ac:dyDescent="0.3">
      <c r="A9" s="4"/>
      <c r="B9" s="4"/>
      <c r="C9" s="4"/>
      <c r="D9" s="13" t="s">
        <v>29</v>
      </c>
      <c r="E9" s="13" t="s">
        <v>78</v>
      </c>
      <c r="F9" s="13" t="s">
        <v>48</v>
      </c>
      <c r="G9" s="13" t="s">
        <v>49</v>
      </c>
      <c r="H9" s="13" t="s">
        <v>32</v>
      </c>
      <c r="I9" s="13" t="s">
        <v>50</v>
      </c>
      <c r="J9" s="13"/>
      <c r="K9" s="13"/>
    </row>
    <row r="10" spans="1:11" x14ac:dyDescent="0.3">
      <c r="A10" s="13" t="s">
        <v>34</v>
      </c>
      <c r="B10" s="13" t="s">
        <v>35</v>
      </c>
      <c r="C10" s="14" t="s">
        <v>53</v>
      </c>
      <c r="D10" s="13" t="s">
        <v>29</v>
      </c>
      <c r="E10" s="13" t="s">
        <v>78</v>
      </c>
      <c r="F10" s="14" t="s">
        <v>54</v>
      </c>
      <c r="G10" s="13" t="s">
        <v>55</v>
      </c>
      <c r="H10" s="13" t="s">
        <v>32</v>
      </c>
      <c r="I10" s="13"/>
      <c r="J10" s="13"/>
      <c r="K10" s="13"/>
    </row>
    <row r="11" spans="1:11" x14ac:dyDescent="0.3">
      <c r="A11" s="13" t="s">
        <v>34</v>
      </c>
      <c r="B11" s="13" t="s">
        <v>35</v>
      </c>
      <c r="C11" s="24" t="s">
        <v>56</v>
      </c>
      <c r="D11" s="13" t="s">
        <v>29</v>
      </c>
      <c r="E11" s="13" t="s">
        <v>78</v>
      </c>
      <c r="F11" s="13" t="s">
        <v>57</v>
      </c>
      <c r="G11" s="13" t="s">
        <v>58</v>
      </c>
      <c r="H11" s="13" t="s">
        <v>32</v>
      </c>
      <c r="I11" s="13"/>
      <c r="J11" s="13"/>
      <c r="K11" s="13"/>
    </row>
    <row r="12" spans="1:11" x14ac:dyDescent="0.3">
      <c r="A12" s="4"/>
      <c r="B12" s="4"/>
      <c r="C12" s="4"/>
      <c r="D12" s="13" t="s">
        <v>29</v>
      </c>
      <c r="E12" s="13" t="s">
        <v>78</v>
      </c>
      <c r="F12" s="13" t="s">
        <v>60</v>
      </c>
      <c r="G12" s="13" t="s">
        <v>61</v>
      </c>
      <c r="H12" s="13" t="s">
        <v>32</v>
      </c>
      <c r="I12" s="13" t="s">
        <v>62</v>
      </c>
      <c r="J12" s="13"/>
      <c r="K12" s="13"/>
    </row>
    <row r="13" spans="1:11" x14ac:dyDescent="0.3">
      <c r="A13" s="8"/>
      <c r="B13" s="8"/>
      <c r="C13" s="8"/>
      <c r="D13" s="3" t="s">
        <v>29</v>
      </c>
      <c r="E13" s="3" t="s">
        <v>78</v>
      </c>
      <c r="F13" s="5" t="s">
        <v>67</v>
      </c>
      <c r="G13" s="5" t="s">
        <v>68</v>
      </c>
      <c r="H13" s="7" t="s">
        <v>69</v>
      </c>
      <c r="I13" s="3"/>
      <c r="J13" s="9" t="s">
        <v>70</v>
      </c>
      <c r="K13" s="9" t="s">
        <v>71</v>
      </c>
    </row>
    <row r="14" spans="1:11" ht="24" x14ac:dyDescent="0.3">
      <c r="A14" s="8"/>
      <c r="B14" s="8"/>
      <c r="C14" s="8"/>
      <c r="D14" s="3" t="s">
        <v>29</v>
      </c>
      <c r="E14" s="3" t="s">
        <v>78</v>
      </c>
      <c r="F14" s="5" t="s">
        <v>72</v>
      </c>
      <c r="G14" s="5" t="s">
        <v>73</v>
      </c>
      <c r="H14" s="7" t="s">
        <v>32</v>
      </c>
      <c r="I14" s="3"/>
      <c r="J14" s="9" t="s">
        <v>74</v>
      </c>
      <c r="K14" s="9" t="s">
        <v>71</v>
      </c>
    </row>
    <row r="15" spans="1:11" ht="24" x14ac:dyDescent="0.3">
      <c r="A15" s="8"/>
      <c r="B15" s="8"/>
      <c r="C15" s="8"/>
      <c r="D15" s="3" t="s">
        <v>29</v>
      </c>
      <c r="E15" s="3" t="s">
        <v>78</v>
      </c>
      <c r="F15" s="5" t="s">
        <v>75</v>
      </c>
      <c r="G15" s="5" t="s">
        <v>76</v>
      </c>
      <c r="H15" s="7" t="s">
        <v>32</v>
      </c>
      <c r="I15" s="3"/>
      <c r="J15" s="9" t="s">
        <v>77</v>
      </c>
      <c r="K15" s="9" t="s">
        <v>71</v>
      </c>
    </row>
  </sheetData>
  <autoFilter ref="A4:K12" xr:uid="{58DDDDE8-4215-4EB6-A08E-09D8234EAD1A}"/>
  <mergeCells count="2">
    <mergeCell ref="A3:C3"/>
    <mergeCell ref="D3:K3"/>
  </mergeCells>
  <hyperlinks>
    <hyperlink ref="A1" location="Home!B1" display="RETURN TO HOME" xr:uid="{D4334CF0-AA07-45AA-98A2-04B65EA4CE8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990aac-83e6-4599-8d1c-3554e632ffee">
      <Terms xmlns="http://schemas.microsoft.com/office/infopath/2007/PartnerControls"/>
    </lcf76f155ced4ddcb4097134ff3c332f>
    <TaxCatchAll xmlns="cf83fe79-20dd-4075-9c16-9168a91bda1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E49E7359B8F49ABC84425AF6B3946" ma:contentTypeVersion="15" ma:contentTypeDescription="Create a new document." ma:contentTypeScope="" ma:versionID="783c44250ca2f7c43f943e4cc21b2e2d">
  <xsd:schema xmlns:xsd="http://www.w3.org/2001/XMLSchema" xmlns:xs="http://www.w3.org/2001/XMLSchema" xmlns:p="http://schemas.microsoft.com/office/2006/metadata/properties" xmlns:ns2="f78145ab-c10b-4833-841c-c09ebc9d8f15" xmlns:ns3="39990aac-83e6-4599-8d1c-3554e632ffee" xmlns:ns4="cf83fe79-20dd-4075-9c16-9168a91bda1d" targetNamespace="http://schemas.microsoft.com/office/2006/metadata/properties" ma:root="true" ma:fieldsID="42468ef7d301727a23cd39500e12885f" ns2:_="" ns3:_="" ns4:_="">
    <xsd:import namespace="f78145ab-c10b-4833-841c-c09ebc9d8f15"/>
    <xsd:import namespace="39990aac-83e6-4599-8d1c-3554e632ffee"/>
    <xsd:import namespace="cf83fe79-20dd-4075-9c16-9168a91bda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145ab-c10b-4833-841c-c09ebc9d8f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0aac-83e6-4599-8d1c-3554e632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3fe79-20dd-4075-9c16-9168a91bda1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934e86-7ea3-412a-ae37-edc9c736d31f}" ma:internalName="TaxCatchAll" ma:showField="CatchAllData" ma:web="cf83fe79-20dd-4075-9c16-9168a91bd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6AA08-959A-4B0A-95BF-FFFD1D3B0D0B}">
  <ds:schemaRefs>
    <ds:schemaRef ds:uri="494c9eb2-fe76-4dc1-af19-dd5dd2c68e06"/>
    <ds:schemaRef ds:uri="http://www.w3.org/XML/1998/namespace"/>
    <ds:schemaRef ds:uri="1913c094-22dd-4544-b7b0-47d97695d9bf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5D5D7E8-BD1C-4905-AAD2-45B69989B06D}"/>
</file>

<file path=customXml/itemProps3.xml><?xml version="1.0" encoding="utf-8"?>
<ds:datastoreItem xmlns:ds="http://schemas.openxmlformats.org/officeDocument/2006/customXml" ds:itemID="{3E49756D-7ADB-4DF8-BD6E-9961D4F2FC8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FACT_MASTER_APPL</vt:lpstr>
      <vt:lpstr>FACT_POL_LIFE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Rosalina, Rosalina</cp:lastModifiedBy>
  <cp:revision/>
  <dcterms:created xsi:type="dcterms:W3CDTF">2026-07-16T07:04:43Z</dcterms:created>
  <dcterms:modified xsi:type="dcterms:W3CDTF">2026-09-08T09:52:17Z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0x01010014BE49E7359B8F49ABC84425AF6B3946</vt:lpwstr>
  </property>
  <property fmtid="{D5CDD505-2E9C-101B-9397-08002B2CF9AE}" pid="3" name="MediaServiceImageTags">
    <vt:lpwstr/>
  </property>
  <property fmtid="{D5CDD505-2E9C-101B-9397-08002B2CF9AE}" pid="4" name="WorkbookGuid">
    <vt:lpwstr>5b0b192f-f67d-42bc-8225-4d3bc935da5f</vt:lpwstr>
  </property>
</Properties>
</file>
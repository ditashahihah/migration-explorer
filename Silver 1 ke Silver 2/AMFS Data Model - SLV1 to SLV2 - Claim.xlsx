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.sharepoint.com/sites/AMFS-CloudDataLakehouse/Shared Documents/Phase 1/0.2 Deliverables/0.2 Data Discovery/Data Model/02. SILVER TIER 2/"/>
    </mc:Choice>
  </mc:AlternateContent>
  <xr:revisionPtr revIDLastSave="2325" documentId="11_C7EBA6A2D9127FA39D91A9CA32F8CD971A81C65C" xr6:coauthVersionLast="47" xr6:coauthVersionMax="47" xr10:uidLastSave="{CE23158D-6DA2-4D7A-91B4-3D9C5F7B59D8}"/>
  <bookViews>
    <workbookView minimized="1" xWindow="348" yWindow="3348" windowWidth="17280" windowHeight="9960" xr2:uid="{00000000-000D-0000-FFFF-FFFF00000000}"/>
  </bookViews>
  <sheets>
    <sheet name="Home" sheetId="1" r:id="rId1"/>
    <sheet name="FACT_MASTER_CLAIM" sheetId="6" r:id="rId2"/>
    <sheet name="FACT_CLAIM_HEALTH" sheetId="7" r:id="rId3"/>
  </sheets>
  <definedNames>
    <definedName name="_xlnm._FilterDatabase" localSheetId="2" hidden="1">FACT_CLAIM_HEALTH!$A$4:$K$4</definedName>
    <definedName name="_xlnm._FilterDatabase" localSheetId="1" hidden="1">FACT_MASTER_CLAIM!$A$4:$K$4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2" i="1"/>
</calcChain>
</file>

<file path=xl/sharedStrings.xml><?xml version="1.0" encoding="utf-8"?>
<sst xmlns="http://schemas.openxmlformats.org/spreadsheetml/2006/main" count="383" uniqueCount="101">
  <si>
    <t>No</t>
  </si>
  <si>
    <t>Table</t>
  </si>
  <si>
    <t>Date Added</t>
  </si>
  <si>
    <t>UC 1</t>
  </si>
  <si>
    <t>UC 2</t>
  </si>
  <si>
    <t>UC 3</t>
  </si>
  <si>
    <t>UC 4</t>
  </si>
  <si>
    <t>UC 5</t>
  </si>
  <si>
    <t>UC 6</t>
  </si>
  <si>
    <t>UC 7</t>
  </si>
  <si>
    <t>UC 8</t>
  </si>
  <si>
    <t>UC 9</t>
  </si>
  <si>
    <t>UC 10</t>
  </si>
  <si>
    <t>UC 11</t>
  </si>
  <si>
    <t>UC 12</t>
  </si>
  <si>
    <t>FACT_CCY_RATE</t>
  </si>
  <si>
    <t>v</t>
  </si>
  <si>
    <t>FACT_FINACT_DEBIT</t>
  </si>
  <si>
    <t>DIM_CCY</t>
  </si>
  <si>
    <t>DIM_DEBIT_STAT</t>
  </si>
  <si>
    <t>DIM_DUE_DAY</t>
  </si>
  <si>
    <t>RETURN TO HOME</t>
  </si>
  <si>
    <t>Silver 1</t>
  </si>
  <si>
    <t>Silver 2</t>
  </si>
  <si>
    <t>Schema Name</t>
  </si>
  <si>
    <t>Table Name</t>
  </si>
  <si>
    <t>Field Name</t>
  </si>
  <si>
    <t>Physical Field Name</t>
  </si>
  <si>
    <t>Logical Field Name</t>
  </si>
  <si>
    <t>Data Type</t>
  </si>
  <si>
    <t>SQL command</t>
  </si>
  <si>
    <t>Transformation Rule</t>
  </si>
  <si>
    <t>Filter/Join Condition</t>
  </si>
  <si>
    <t>SLV_FINACT</t>
  </si>
  <si>
    <t>FACT_MASTER_CLAIM</t>
  </si>
  <si>
    <t>DIFF_HK</t>
  </si>
  <si>
    <t>Surrogate key, uniquely identifies each record</t>
  </si>
  <si>
    <t>VARCHAR</t>
  </si>
  <si>
    <t>n/a</t>
  </si>
  <si>
    <t>HASH(SRC_SYSTEM,POLICY_NO,CLAIM_NO)</t>
  </si>
  <si>
    <t>SLV_RLS</t>
  </si>
  <si>
    <t>POLICY_NO</t>
  </si>
  <si>
    <t>CLAIM_NO</t>
  </si>
  <si>
    <t>CLAIM_TYPE</t>
  </si>
  <si>
    <t>CLAIM_USER</t>
  </si>
  <si>
    <t>CLAIM_SUBMIT_DT</t>
  </si>
  <si>
    <t>CLAIM_DECISION_DT</t>
  </si>
  <si>
    <t>CLAIM_INCIDENT_DT</t>
  </si>
  <si>
    <t>CLAIM_PERIOD_FROM_DT</t>
  </si>
  <si>
    <t>CLAIM_PERIOD_TO_DT</t>
  </si>
  <si>
    <t>IMPAIRMENT_CD</t>
  </si>
  <si>
    <t>CLAIM_STATUS_CD</t>
  </si>
  <si>
    <t>CLAIM_STATUS_DESC</t>
  </si>
  <si>
    <t>CASE WHEN CLAIM_STATUS_CD IN ('P','A') THEN 'PAID'
		WHEN CLAIM_STATUS_CD THEN 'REJECT'
		WHEN CLAIM_STATUS_CD THEN 'PENDING'
		WHEN CLAIM_STATUS_CD THEN 'CANCEL'
		ELSE 'ERROR' END</t>
  </si>
  <si>
    <t>CLAIM_CCY_CD</t>
  </si>
  <si>
    <t>CLAIM_PAID_AMT</t>
  </si>
  <si>
    <t>SRC_SYSTEM</t>
  </si>
  <si>
    <t>Source system code</t>
  </si>
  <si>
    <t>Hardcoded 'RLS'</t>
  </si>
  <si>
    <t>LOAD_TS</t>
  </si>
  <si>
    <t>Timestamp the record was loaded</t>
  </si>
  <si>
    <t>TIMESTAMP_NTZ</t>
  </si>
  <si>
    <t>System-generated at load time (CURRENT_TIMESTAMP())</t>
  </si>
  <si>
    <t>JOB_ID</t>
  </si>
  <si>
    <t>Job batch identifier</t>
  </si>
  <si>
    <t>Populated from orchestration/job run context (e.g. Airflow/DBT run ID)</t>
  </si>
  <si>
    <t>BATCH_DT</t>
  </si>
  <si>
    <t>Operational logdate from source (H-1 daily)</t>
  </si>
  <si>
    <t>Derived from source system's operational logdate (H-1 batch), format YYYYMMDD</t>
  </si>
  <si>
    <t>CLAIM_ACCESSOR</t>
  </si>
  <si>
    <t>CLAIM_REASON</t>
  </si>
  <si>
    <t>FACT_CLAIM_HEALTH</t>
  </si>
  <si>
    <t>CLAIM_HEALTH_NO</t>
  </si>
  <si>
    <t>CLAIM_HEALTH_ADMISSION_DT</t>
  </si>
  <si>
    <t>CLAIM_HEALTH_DISCHARGE_DT</t>
  </si>
  <si>
    <t>CLAIM_HEALTH_HOSPITAL_CD</t>
  </si>
  <si>
    <t>CLAIM_HEALTH_DIAGNOSIS_CD</t>
  </si>
  <si>
    <t>CLAIM_HEALTH_DECISION_DT</t>
  </si>
  <si>
    <t>CLAIM_HEALTH_SUBMIT_DT</t>
  </si>
  <si>
    <t>CLAIM_HEALTH_STATUS_CD</t>
  </si>
  <si>
    <t>CLAIM_HEALTH_STATUS_DESC</t>
  </si>
  <si>
    <t>CASE WHEN CLAIM_HEALTH_STATUS_CD IN ('P','A') THEN 'PAID'
		WHEN CLAIM_HEALTH_STATUS_CD THEN 'REJECT'
		WHEN CLAIM_HEALTH_STATUS_CD THEN 'PENDING'
		WHEN CLAIM_HEALTH_STATUS_CD THEN 'CANCEL'
		ELSE 'ERROR' END</t>
  </si>
  <si>
    <t>CLAIM_HEALTH_TYPE_CD</t>
  </si>
  <si>
    <t>CLAIM_HEALTH_REASON</t>
  </si>
  <si>
    <t>RIDER_PRODUCT_CD</t>
  </si>
  <si>
    <t>CLAIM_HEALTH_INP_DAY_CLAIMED</t>
  </si>
  <si>
    <t>CLAIM_HEALTH_INP_DAY_PAID</t>
  </si>
  <si>
    <t>CLAIM_HEALTH_ICU_DAY_CLAIMED</t>
  </si>
  <si>
    <t>CLAIM_HEALTH_ICU_DAY_PAID</t>
  </si>
  <si>
    <t>CLAIM_HEALTH_USER</t>
  </si>
  <si>
    <t>CLAIM_HEALTH_ACCESSOR</t>
  </si>
  <si>
    <t>CLAIM_HEALTH_INPATIENT_AMT</t>
  </si>
  <si>
    <t>CLAIM_HEALTH_ICU_AMT</t>
  </si>
  <si>
    <t>CLAIM_HEALTH_SURGERY_AMT</t>
  </si>
  <si>
    <t>CLAIM_HEALTH_TRANSPORT_AMT</t>
  </si>
  <si>
    <t>CLAIM_HEALTH_CLAIMED_AMT</t>
  </si>
  <si>
    <t>(CASE WHEN HCHIDP=0 THEN 0 ELSE (HCHIP/HCHIDP*HCHIDC) END
+CASE WHEN HCHCDP=0 THEN 0 ELSE (HCHCP/HCHCDP*HCHCDC) END
+HCRBC
+HCICC
+HCHEC
+HCPVIC
+HCINPC
+HCSGC
+HCANAC
+HCOTC
+HCAAC
+HCOPS
+HCEOPC
+HCRDCC
+HCKDNC
+HCT1C
+HCMNC
+HCSMMC
+HCIGBAC
+HCPHCAC
+HCPDAC
+HCNTAC
+HCMDAC
+HCRBWAC)</t>
  </si>
  <si>
    <t>CLAIM_HEALTH_PAID_AMT</t>
  </si>
  <si>
    <t>(HCHIP
+HCHCP
+HCRBP
+HCICP
+HCHEP
+HCPVIP
+HCINPP
+HCSGP
+HCANAP
+HCOTP
+HCAAP
+HCOPSP
+HCEOPP
+HCRDCP
+HCKDNP
+HCT1P
+HCMNP
+HCSMMP
+HCIGBAP
+HCPHCAP
+HCPDAP
+HCNTAP
+HCMDAP
+HCRBWAP)</t>
  </si>
  <si>
    <t>CLAIM_HOSPITAL_HIST</t>
  </si>
  <si>
    <t>MASTER_CLAIM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</si>
</sst>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5BBED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6" borderId="1" xfId="0" applyFont="1" applyFill="1" applyBorder="1" applyAlignment="1">
      <alignment vertical="top"/>
    </xf>
    <xf numFmtId="0" fontId="2" fillId="0" borderId="2" xfId="0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1" applyFont="1" applyAlignment="1">
      <alignment vertical="center"/>
    </xf>
    <xf numFmtId="14" fontId="2" fillId="0" borderId="0" xfId="0" applyNumberFormat="1" applyFont="1" applyAlignment="1">
      <alignment horizontal="right" vertical="center"/>
    </xf>
    <xf numFmtId="0" fontId="5" fillId="0" borderId="0" xfId="1" applyFont="1"/>
    <xf numFmtId="0" fontId="2" fillId="0" borderId="1" xfId="0" applyFont="1" applyBorder="1" applyAlignment="1">
      <alignment vertical="top" wrapText="1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7"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numFmt numFmtId="19" formatCode="m/d/yyyy"/>
      <alignment horizontal="righ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CD6F4F-0BCF-4E2D-A5FC-DB514FC29E96}" name="Table13" displayName="Table13" ref="A1:O6" totalsRowShown="0" headerRowDxfId="16" dataDxfId="15">
  <autoFilter ref="A1:O6" xr:uid="{30CD6F4F-0BCF-4E2D-A5FC-DB514FC29E96}"/>
  <tableColumns count="15">
    <tableColumn id="1" xr3:uid="{5CCC2DF7-528B-4A56-8068-E302AFBAD81E}" name="No" dataDxfId="14">
      <calculatedColumnFormula>ROW()-1</calculatedColumnFormula>
    </tableColumn>
    <tableColumn id="2" xr3:uid="{FDC1EF40-9CCC-40C1-A806-372A0A2441AD}" name="Table" dataDxfId="13"/>
    <tableColumn id="9" xr3:uid="{EC4F33F2-C85A-4EEE-B15A-CCDA5D19BFF5}" name="Date Added" dataDxfId="12"/>
    <tableColumn id="3" xr3:uid="{11828BD4-3D55-4EC3-A946-F3A34D217555}" name="UC 1" dataDxfId="11"/>
    <tableColumn id="4" xr3:uid="{9E6E4E9E-39DE-49FB-B625-CAFF2CA3D425}" name="UC 2" dataDxfId="10"/>
    <tableColumn id="10" xr3:uid="{A461EB69-F317-4197-887E-61269A88E0C1}" name="UC 3" dataDxfId="9"/>
    <tableColumn id="11" xr3:uid="{73D908CD-6FC0-4D8D-AC8E-8F8EECE22036}" name="UC 4" dataDxfId="8"/>
    <tableColumn id="12" xr3:uid="{125A43BA-BA22-4676-A30D-6572F4BE3C24}" name="UC 5" dataDxfId="7"/>
    <tableColumn id="13" xr3:uid="{6AC0BFC0-0523-40C3-9E1D-A7EA38C1E97C}" name="UC 6" dataDxfId="6"/>
    <tableColumn id="5" xr3:uid="{483A1E0F-CABF-4D93-BBE7-19E13236A3F7}" name="UC 7" dataDxfId="5"/>
    <tableColumn id="6" xr3:uid="{0E824536-847C-457C-A6B2-A7A614F1D495}" name="UC 8" dataDxfId="4"/>
    <tableColumn id="14" xr3:uid="{1E0C2530-3620-441E-987A-BB9884F06E66}" name="UC 9" dataDxfId="3"/>
    <tableColumn id="15" xr3:uid="{39521CC0-C6BE-4A08-9E94-AD765BABD3DB}" name="UC 10" dataDxfId="2"/>
    <tableColumn id="7" xr3:uid="{BA4088CA-12EC-4BAB-83E3-5ED28BECD6B6}" name="UC 11" dataDxfId="1"/>
    <tableColumn id="8" xr3:uid="{5E0D62BF-FB6E-46A8-88CC-EBE19763935B}" name="UC 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B6" sqref="B6"/>
    </sheetView>
  </sheetViews>
  <sheetFormatPr defaultColWidth="8.88671875" defaultRowHeight="12" x14ac:dyDescent="0.3"/>
  <cols>
    <col min="1" max="1" width="7.33203125" style="9" bestFit="1" customWidth="1"/>
    <col min="2" max="2" width="16.6640625" style="10" customWidth="1"/>
    <col min="3" max="3" width="8.88671875" style="11" bestFit="1" customWidth="1"/>
    <col min="4" max="12" width="8.33203125" style="9" bestFit="1" customWidth="1"/>
    <col min="13" max="15" width="9.109375" style="9" bestFit="1" customWidth="1"/>
    <col min="16" max="16384" width="8.88671875" style="10"/>
  </cols>
  <sheetData>
    <row r="1" spans="1:15" x14ac:dyDescent="0.3">
      <c r="A1" s="9" t="s">
        <v>0</v>
      </c>
      <c r="B1" s="10" t="s">
        <v>1</v>
      </c>
      <c r="C1" s="11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</row>
    <row r="2" spans="1:15" x14ac:dyDescent="0.3">
      <c r="A2" s="9">
        <f>ROW()-1</f>
        <v>1</v>
      </c>
      <c r="B2" s="12" t="s">
        <v>15</v>
      </c>
      <c r="C2" s="13">
        <v>46231</v>
      </c>
      <c r="J2" s="9" t="s">
        <v>16</v>
      </c>
    </row>
    <row r="3" spans="1:15" x14ac:dyDescent="0.3">
      <c r="A3" s="9">
        <f t="shared" ref="A3:A6" si="0">ROW()-1</f>
        <v>2</v>
      </c>
      <c r="B3" s="12" t="s">
        <v>17</v>
      </c>
      <c r="C3" s="13">
        <v>46231</v>
      </c>
      <c r="J3" s="9" t="s">
        <v>16</v>
      </c>
    </row>
    <row r="4" spans="1:15" x14ac:dyDescent="0.3">
      <c r="A4" s="9">
        <f t="shared" si="0"/>
        <v>3</v>
      </c>
      <c r="B4" s="12" t="s">
        <v>18</v>
      </c>
      <c r="C4" s="13">
        <v>46231</v>
      </c>
      <c r="J4" s="9" t="s">
        <v>16</v>
      </c>
    </row>
    <row r="5" spans="1:15" x14ac:dyDescent="0.3">
      <c r="A5" s="9">
        <f t="shared" si="0"/>
        <v>4</v>
      </c>
      <c r="B5" s="12" t="s">
        <v>19</v>
      </c>
      <c r="C5" s="13">
        <v>46231</v>
      </c>
      <c r="J5" s="9" t="s">
        <v>16</v>
      </c>
    </row>
    <row r="6" spans="1:15" x14ac:dyDescent="0.3">
      <c r="A6" s="9">
        <f t="shared" si="0"/>
        <v>5</v>
      </c>
      <c r="B6" s="12" t="s">
        <v>20</v>
      </c>
      <c r="C6" s="13">
        <v>46231</v>
      </c>
      <c r="J6" s="9" t="s">
        <v>16</v>
      </c>
    </row>
  </sheetData>
  <hyperlinks>
    <hyperlink ref="B2" location="FACT_CCY_RATE!A1" display="FACT_CCY_RATE" xr:uid="{A194D61D-BA4E-4786-ACB3-5CF0429FFEC6}"/>
    <hyperlink ref="B3" location="FACT_FINACT_DEBIT!A1" display="FACT_FINACT_DEBIT" xr:uid="{96AA863B-6FF5-46BB-9389-B83CB178A6EE}"/>
    <hyperlink ref="B5" location="DIM_DEBIT_STATUS!A1" display="DIM_DEBIT_STATUS" xr:uid="{E69EBF21-4521-40A1-9C53-12DA02EB6368}"/>
    <hyperlink ref="B4" location="DIM_CCY!A1" display="DIM_CCY" xr:uid="{AE68C463-1FA0-4105-AFB1-D188FC1C19C1}"/>
    <hyperlink ref="B6" location="DIM_DUE_DAY!A1" display="DIM_DUE_DAY" xr:uid="{2AB2E26F-E7A3-43CD-A2E0-EA473DFFD224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DDE8-4215-4EB6-A08E-09D8234EAD1A}">
  <dimension ref="A1:K81"/>
  <sheetViews>
    <sheetView workbookViewId="0">
      <selection activeCell="C11" sqref="C11"/>
    </sheetView>
  </sheetViews>
  <sheetFormatPr defaultColWidth="8.88671875" defaultRowHeight="12" x14ac:dyDescent="0.3"/>
  <cols>
    <col min="1" max="1" width="12.6640625" style="1" bestFit="1" customWidth="1"/>
    <col min="2" max="2" width="14.21875" style="1" customWidth="1"/>
    <col min="3" max="3" width="20" style="1" bestFit="1" customWidth="1"/>
    <col min="4" max="4" width="13.6640625" style="1" bestFit="1" customWidth="1"/>
    <col min="5" max="5" width="15.77734375" style="1" bestFit="1" customWidth="1"/>
    <col min="6" max="6" width="17.5546875" style="1" customWidth="1"/>
    <col min="7" max="7" width="33" style="1" bestFit="1" customWidth="1"/>
    <col min="8" max="8" width="12.33203125" style="1" bestFit="1" customWidth="1"/>
    <col min="9" max="9" width="12.6640625" style="1" bestFit="1" customWidth="1"/>
    <col min="10" max="10" width="57.5546875" style="1" bestFit="1" customWidth="1"/>
    <col min="11" max="11" width="35.6640625" style="1" customWidth="1"/>
    <col min="12" max="16384" width="8.88671875" style="1"/>
  </cols>
  <sheetData>
    <row r="1" spans="1:11" x14ac:dyDescent="0.25">
      <c r="A1" s="14" t="s">
        <v>21</v>
      </c>
    </row>
    <row r="3" spans="1:11" x14ac:dyDescent="0.3">
      <c r="A3" s="16" t="s">
        <v>22</v>
      </c>
      <c r="B3" s="16"/>
      <c r="C3" s="16"/>
      <c r="D3" s="17" t="s">
        <v>23</v>
      </c>
      <c r="E3" s="17"/>
      <c r="F3" s="17"/>
      <c r="G3" s="17"/>
      <c r="H3" s="17"/>
      <c r="I3" s="17"/>
      <c r="J3" s="17"/>
      <c r="K3" s="17"/>
    </row>
    <row r="4" spans="1:11" x14ac:dyDescent="0.3">
      <c r="A4" s="2" t="s">
        <v>24</v>
      </c>
      <c r="B4" s="2" t="s">
        <v>25</v>
      </c>
      <c r="C4" s="2" t="s">
        <v>26</v>
      </c>
      <c r="D4" s="6" t="s">
        <v>24</v>
      </c>
      <c r="E4" s="6" t="s">
        <v>25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</row>
    <row r="5" spans="1:11" x14ac:dyDescent="0.3">
      <c r="A5" s="4"/>
      <c r="B5" s="4"/>
      <c r="C5" s="4"/>
      <c r="D5" s="3" t="s">
        <v>33</v>
      </c>
      <c r="E5" s="5" t="s">
        <v>34</v>
      </c>
      <c r="F5" s="7" t="s">
        <v>35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38</v>
      </c>
    </row>
    <row r="6" spans="1:11" x14ac:dyDescent="0.3">
      <c r="A6" s="7" t="s">
        <v>40</v>
      </c>
      <c r="B6" s="7" t="s">
        <v>100</v>
      </c>
      <c r="C6" s="7" t="s">
        <v>41</v>
      </c>
      <c r="D6" s="3" t="s">
        <v>33</v>
      </c>
      <c r="E6" s="5" t="s">
        <v>34</v>
      </c>
      <c r="F6" s="3" t="s">
        <v>41</v>
      </c>
      <c r="G6" s="5"/>
      <c r="H6" s="3"/>
      <c r="I6" s="3"/>
      <c r="J6" s="5"/>
      <c r="K6" s="3" t="s">
        <v>38</v>
      </c>
    </row>
    <row r="7" spans="1:11" x14ac:dyDescent="0.3">
      <c r="A7" s="7" t="s">
        <v>40</v>
      </c>
      <c r="B7" s="7" t="s">
        <v>100</v>
      </c>
      <c r="C7" s="7" t="s">
        <v>42</v>
      </c>
      <c r="D7" s="3" t="s">
        <v>33</v>
      </c>
      <c r="E7" s="5" t="s">
        <v>34</v>
      </c>
      <c r="F7" s="3" t="s">
        <v>42</v>
      </c>
      <c r="G7" s="5"/>
      <c r="H7" s="3"/>
      <c r="I7" s="3"/>
      <c r="J7" s="5"/>
      <c r="K7" s="3" t="s">
        <v>38</v>
      </c>
    </row>
    <row r="8" spans="1:11" x14ac:dyDescent="0.3">
      <c r="A8" s="7" t="s">
        <v>40</v>
      </c>
      <c r="B8" s="7" t="s">
        <v>100</v>
      </c>
      <c r="C8" s="7" t="s">
        <v>43</v>
      </c>
      <c r="D8" s="3" t="s">
        <v>33</v>
      </c>
      <c r="E8" s="5" t="s">
        <v>34</v>
      </c>
      <c r="F8" s="3" t="s">
        <v>43</v>
      </c>
      <c r="G8" s="5"/>
      <c r="H8" s="5"/>
      <c r="I8" s="3"/>
      <c r="J8" s="5"/>
      <c r="K8" s="3" t="s">
        <v>38</v>
      </c>
    </row>
    <row r="9" spans="1:11" x14ac:dyDescent="0.3">
      <c r="A9" s="7" t="s">
        <v>40</v>
      </c>
      <c r="B9" s="7" t="s">
        <v>100</v>
      </c>
      <c r="C9" s="7" t="s">
        <v>44</v>
      </c>
      <c r="D9" s="3" t="s">
        <v>33</v>
      </c>
      <c r="E9" s="5" t="s">
        <v>34</v>
      </c>
      <c r="F9" s="3" t="s">
        <v>44</v>
      </c>
      <c r="G9" s="5"/>
      <c r="H9" s="5"/>
      <c r="I9" s="3"/>
      <c r="J9" s="5"/>
      <c r="K9" s="3" t="s">
        <v>38</v>
      </c>
    </row>
    <row r="10" spans="1:11" x14ac:dyDescent="0.3">
      <c r="A10" s="7" t="s">
        <v>40</v>
      </c>
      <c r="B10" s="7" t="s">
        <v>100</v>
      </c>
      <c r="C10" s="7" t="s">
        <v>45</v>
      </c>
      <c r="D10" s="3" t="s">
        <v>33</v>
      </c>
      <c r="E10" s="5" t="s">
        <v>34</v>
      </c>
      <c r="F10" s="3" t="s">
        <v>45</v>
      </c>
      <c r="G10" s="5"/>
      <c r="H10" s="5"/>
      <c r="I10" s="3"/>
      <c r="J10" s="5"/>
      <c r="K10" s="3" t="s">
        <v>38</v>
      </c>
    </row>
    <row r="11" spans="1:11" x14ac:dyDescent="0.3">
      <c r="A11" s="7" t="s">
        <v>40</v>
      </c>
      <c r="B11" s="7" t="s">
        <v>100</v>
      </c>
      <c r="C11" s="3" t="s">
        <v>46</v>
      </c>
      <c r="D11" s="3" t="s">
        <v>33</v>
      </c>
      <c r="E11" s="5" t="s">
        <v>34</v>
      </c>
      <c r="F11" s="3" t="s">
        <v>46</v>
      </c>
      <c r="G11" s="5"/>
      <c r="H11" s="5"/>
      <c r="I11" s="3"/>
      <c r="J11" s="5"/>
      <c r="K11" s="3"/>
    </row>
    <row r="12" spans="1:11" x14ac:dyDescent="0.3">
      <c r="A12" s="7" t="s">
        <v>40</v>
      </c>
      <c r="B12" s="7" t="s">
        <v>100</v>
      </c>
      <c r="C12" s="3" t="s">
        <v>47</v>
      </c>
      <c r="D12" s="3" t="s">
        <v>33</v>
      </c>
      <c r="E12" s="5" t="s">
        <v>34</v>
      </c>
      <c r="F12" s="3" t="s">
        <v>47</v>
      </c>
      <c r="G12" s="5"/>
      <c r="H12" s="5"/>
      <c r="I12" s="3"/>
      <c r="J12" s="5"/>
      <c r="K12" s="3"/>
    </row>
    <row r="13" spans="1:11" x14ac:dyDescent="0.3">
      <c r="A13" s="7" t="s">
        <v>40</v>
      </c>
      <c r="B13" s="7" t="s">
        <v>100</v>
      </c>
      <c r="C13" s="3" t="s">
        <v>48</v>
      </c>
      <c r="D13" s="3" t="s">
        <v>33</v>
      </c>
      <c r="E13" s="5" t="s">
        <v>34</v>
      </c>
      <c r="F13" s="3" t="s">
        <v>48</v>
      </c>
      <c r="G13" s="5"/>
      <c r="H13" s="5"/>
      <c r="I13" s="3"/>
      <c r="J13" s="5"/>
      <c r="K13" s="3"/>
    </row>
    <row r="14" spans="1:11" x14ac:dyDescent="0.3">
      <c r="A14" s="7" t="s">
        <v>40</v>
      </c>
      <c r="B14" s="7" t="s">
        <v>100</v>
      </c>
      <c r="C14" s="3" t="s">
        <v>49</v>
      </c>
      <c r="D14" s="3" t="s">
        <v>33</v>
      </c>
      <c r="E14" s="5" t="s">
        <v>34</v>
      </c>
      <c r="F14" s="3" t="s">
        <v>49</v>
      </c>
      <c r="G14" s="5"/>
      <c r="H14" s="5"/>
      <c r="I14" s="3"/>
      <c r="J14" s="5"/>
      <c r="K14" s="3"/>
    </row>
    <row r="15" spans="1:11" x14ac:dyDescent="0.3">
      <c r="A15" s="7" t="s">
        <v>40</v>
      </c>
      <c r="B15" s="7" t="s">
        <v>100</v>
      </c>
      <c r="C15" s="3" t="s">
        <v>50</v>
      </c>
      <c r="D15" s="3" t="s">
        <v>33</v>
      </c>
      <c r="E15" s="5" t="s">
        <v>34</v>
      </c>
      <c r="F15" s="3" t="s">
        <v>50</v>
      </c>
      <c r="G15" s="5"/>
      <c r="H15" s="5"/>
      <c r="I15" s="3"/>
      <c r="J15" s="5"/>
      <c r="K15" s="3"/>
    </row>
    <row r="16" spans="1:11" x14ac:dyDescent="0.3">
      <c r="A16" s="7" t="s">
        <v>40</v>
      </c>
      <c r="B16" s="7" t="s">
        <v>100</v>
      </c>
      <c r="C16" s="3" t="s">
        <v>51</v>
      </c>
      <c r="D16" s="3" t="s">
        <v>33</v>
      </c>
      <c r="E16" s="5" t="s">
        <v>34</v>
      </c>
      <c r="F16" s="3" t="s">
        <v>51</v>
      </c>
      <c r="G16" s="5"/>
      <c r="H16" s="5"/>
      <c r="I16" s="3"/>
      <c r="J16" s="5"/>
      <c r="K16" s="3"/>
    </row>
    <row r="17" spans="1:11" ht="60" x14ac:dyDescent="0.3">
      <c r="A17" s="7" t="s">
        <v>40</v>
      </c>
      <c r="B17" s="7" t="s">
        <v>100</v>
      </c>
      <c r="C17" s="3" t="s">
        <v>51</v>
      </c>
      <c r="D17" s="3" t="s">
        <v>33</v>
      </c>
      <c r="E17" s="5" t="s">
        <v>34</v>
      </c>
      <c r="F17" s="3" t="s">
        <v>52</v>
      </c>
      <c r="G17" s="5"/>
      <c r="H17" s="5"/>
      <c r="I17" s="3"/>
      <c r="J17" s="15" t="s">
        <v>53</v>
      </c>
      <c r="K17" s="3"/>
    </row>
    <row r="18" spans="1:11" x14ac:dyDescent="0.3">
      <c r="A18" s="7" t="s">
        <v>40</v>
      </c>
      <c r="B18" s="7" t="s">
        <v>100</v>
      </c>
      <c r="C18" s="3" t="s">
        <v>54</v>
      </c>
      <c r="D18" s="3" t="s">
        <v>33</v>
      </c>
      <c r="E18" s="5" t="s">
        <v>34</v>
      </c>
      <c r="F18" s="3" t="s">
        <v>54</v>
      </c>
      <c r="G18" s="5"/>
      <c r="H18" s="5"/>
      <c r="I18" s="3"/>
      <c r="J18" s="5"/>
      <c r="K18" s="3"/>
    </row>
    <row r="19" spans="1:11" x14ac:dyDescent="0.3">
      <c r="A19" s="7" t="s">
        <v>40</v>
      </c>
      <c r="B19" s="7" t="s">
        <v>100</v>
      </c>
      <c r="C19" s="3" t="s">
        <v>55</v>
      </c>
      <c r="D19" s="3" t="s">
        <v>33</v>
      </c>
      <c r="E19" s="5" t="s">
        <v>34</v>
      </c>
      <c r="F19" s="3" t="s">
        <v>55</v>
      </c>
      <c r="G19" s="5"/>
      <c r="H19" s="5"/>
      <c r="I19" s="3"/>
      <c r="J19" s="5"/>
      <c r="K19" s="3"/>
    </row>
    <row r="20" spans="1:11" x14ac:dyDescent="0.3">
      <c r="A20" s="4"/>
      <c r="B20" s="4"/>
      <c r="C20" s="4"/>
      <c r="D20" s="3" t="s">
        <v>33</v>
      </c>
      <c r="E20" s="5" t="s">
        <v>34</v>
      </c>
      <c r="F20" s="3" t="s">
        <v>56</v>
      </c>
      <c r="G20" s="3" t="s">
        <v>57</v>
      </c>
      <c r="H20" s="3" t="s">
        <v>37</v>
      </c>
      <c r="I20" s="3" t="s">
        <v>38</v>
      </c>
      <c r="J20" s="5" t="s">
        <v>58</v>
      </c>
      <c r="K20" s="3" t="s">
        <v>38</v>
      </c>
    </row>
    <row r="21" spans="1:11" x14ac:dyDescent="0.3">
      <c r="A21" s="4"/>
      <c r="B21" s="4"/>
      <c r="C21" s="4"/>
      <c r="D21" s="3" t="s">
        <v>33</v>
      </c>
      <c r="E21" s="5" t="s">
        <v>34</v>
      </c>
      <c r="F21" s="3" t="s">
        <v>59</v>
      </c>
      <c r="G21" s="3" t="s">
        <v>60</v>
      </c>
      <c r="H21" s="3" t="s">
        <v>61</v>
      </c>
      <c r="I21" s="3" t="s">
        <v>38</v>
      </c>
      <c r="J21" s="3" t="s">
        <v>62</v>
      </c>
      <c r="K21" s="3" t="s">
        <v>38</v>
      </c>
    </row>
    <row r="22" spans="1:11" x14ac:dyDescent="0.3">
      <c r="A22" s="4"/>
      <c r="B22" s="4"/>
      <c r="C22" s="4"/>
      <c r="D22" s="3" t="s">
        <v>33</v>
      </c>
      <c r="E22" s="5" t="s">
        <v>34</v>
      </c>
      <c r="F22" s="3" t="s">
        <v>63</v>
      </c>
      <c r="G22" s="3" t="s">
        <v>64</v>
      </c>
      <c r="H22" s="3" t="s">
        <v>37</v>
      </c>
      <c r="I22" s="8" t="s">
        <v>38</v>
      </c>
      <c r="J22" s="3" t="s">
        <v>65</v>
      </c>
      <c r="K22" s="8" t="s">
        <v>38</v>
      </c>
    </row>
    <row r="23" spans="1:11" x14ac:dyDescent="0.3">
      <c r="A23" s="4"/>
      <c r="B23" s="4"/>
      <c r="C23" s="4"/>
      <c r="D23" s="3" t="s">
        <v>33</v>
      </c>
      <c r="E23" s="5" t="s">
        <v>34</v>
      </c>
      <c r="F23" s="3" t="s">
        <v>66</v>
      </c>
      <c r="G23" s="3" t="s">
        <v>67</v>
      </c>
      <c r="H23" s="3" t="s">
        <v>37</v>
      </c>
      <c r="I23" s="8" t="s">
        <v>38</v>
      </c>
      <c r="J23" s="3" t="s">
        <v>68</v>
      </c>
      <c r="K23" s="8" t="s">
        <v>38</v>
      </c>
    </row>
    <row r="80" spans="5:5" x14ac:dyDescent="0.3">
      <c r="E80" s="1" t="s">
        <v>69</v>
      </c>
    </row>
    <row r="81" spans="5:5" x14ac:dyDescent="0.3">
      <c r="E81" s="1" t="s">
        <v>70</v>
      </c>
    </row>
  </sheetData>
  <autoFilter ref="A4:K4" xr:uid="{58DDDDE8-4215-4EB6-A08E-09D8234EAD1A}"/>
  <mergeCells count="2">
    <mergeCell ref="A3:C3"/>
    <mergeCell ref="D3:K3"/>
  </mergeCells>
  <hyperlinks>
    <hyperlink ref="A1" location="Home!B1" display="RETURN TO HOME" xr:uid="{B8A9FBF7-7459-4536-8B7D-3BF5025B31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C915-ABC3-485B-8C7F-EA61873E1379}">
  <dimension ref="A1:K92"/>
  <sheetViews>
    <sheetView topLeftCell="A13" workbookViewId="0">
      <selection activeCell="D5" sqref="D5"/>
    </sheetView>
  </sheetViews>
  <sheetFormatPr defaultColWidth="8.88671875" defaultRowHeight="12" x14ac:dyDescent="0.3"/>
  <cols>
    <col min="1" max="1" width="12.6640625" style="1" bestFit="1" customWidth="1"/>
    <col min="2" max="2" width="16.44140625" style="1" bestFit="1" customWidth="1"/>
    <col min="3" max="3" width="27" style="1" bestFit="1" customWidth="1"/>
    <col min="4" max="4" width="13.6640625" style="1" bestFit="1" customWidth="1"/>
    <col min="5" max="5" width="16.6640625" style="1" bestFit="1" customWidth="1"/>
    <col min="6" max="6" width="26.88671875" style="1" customWidth="1"/>
    <col min="7" max="7" width="33" style="1" bestFit="1" customWidth="1"/>
    <col min="8" max="8" width="12.33203125" style="1" bestFit="1" customWidth="1"/>
    <col min="9" max="9" width="12.6640625" style="1" bestFit="1" customWidth="1"/>
    <col min="10" max="10" width="57.5546875" style="1" bestFit="1" customWidth="1"/>
    <col min="11" max="11" width="35.6640625" style="1" customWidth="1"/>
    <col min="12" max="16384" width="8.88671875" style="1"/>
  </cols>
  <sheetData>
    <row r="1" spans="1:11" x14ac:dyDescent="0.25">
      <c r="A1" s="14" t="s">
        <v>21</v>
      </c>
    </row>
    <row r="3" spans="1:11" x14ac:dyDescent="0.3">
      <c r="A3" s="16" t="s">
        <v>22</v>
      </c>
      <c r="B3" s="16"/>
      <c r="C3" s="16"/>
      <c r="D3" s="17" t="s">
        <v>23</v>
      </c>
      <c r="E3" s="17"/>
      <c r="F3" s="17"/>
      <c r="G3" s="17"/>
      <c r="H3" s="17"/>
      <c r="I3" s="17"/>
      <c r="J3" s="17"/>
      <c r="K3" s="17"/>
    </row>
    <row r="4" spans="1:11" x14ac:dyDescent="0.3">
      <c r="A4" s="2" t="s">
        <v>24</v>
      </c>
      <c r="B4" s="2" t="s">
        <v>25</v>
      </c>
      <c r="C4" s="2" t="s">
        <v>26</v>
      </c>
      <c r="D4" s="6" t="s">
        <v>24</v>
      </c>
      <c r="E4" s="6" t="s">
        <v>25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</row>
    <row r="5" spans="1:11" x14ac:dyDescent="0.3">
      <c r="A5" s="4"/>
      <c r="B5" s="4"/>
      <c r="C5" s="4"/>
      <c r="D5" s="3" t="s">
        <v>33</v>
      </c>
      <c r="E5" s="5" t="s">
        <v>71</v>
      </c>
      <c r="F5" s="7" t="s">
        <v>35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38</v>
      </c>
    </row>
    <row r="6" spans="1:11" x14ac:dyDescent="0.3">
      <c r="A6" s="7" t="s">
        <v>40</v>
      </c>
      <c r="B6" s="7" t="s">
        <v>99</v>
      </c>
      <c r="C6" s="3" t="s">
        <v>41</v>
      </c>
      <c r="D6" s="3" t="s">
        <v>33</v>
      </c>
      <c r="E6" s="5" t="s">
        <v>71</v>
      </c>
      <c r="F6" s="3" t="s">
        <v>41</v>
      </c>
      <c r="G6" s="5"/>
      <c r="H6" s="3"/>
      <c r="I6" s="3"/>
      <c r="J6" s="5"/>
      <c r="K6" s="3" t="s">
        <v>38</v>
      </c>
    </row>
    <row r="7" spans="1:11" x14ac:dyDescent="0.3">
      <c r="A7" s="7" t="s">
        <v>40</v>
      </c>
      <c r="B7" s="7" t="s">
        <v>99</v>
      </c>
      <c r="C7" s="3" t="s">
        <v>72</v>
      </c>
      <c r="D7" s="3" t="s">
        <v>33</v>
      </c>
      <c r="E7" s="5" t="s">
        <v>71</v>
      </c>
      <c r="F7" s="3" t="s">
        <v>72</v>
      </c>
      <c r="G7" s="5"/>
      <c r="H7" s="3"/>
      <c r="I7" s="3"/>
      <c r="J7" s="5"/>
      <c r="K7" s="3" t="s">
        <v>38</v>
      </c>
    </row>
    <row r="8" spans="1:11" x14ac:dyDescent="0.3">
      <c r="A8" s="7" t="s">
        <v>40</v>
      </c>
      <c r="B8" s="7" t="s">
        <v>99</v>
      </c>
      <c r="C8" s="3" t="s">
        <v>73</v>
      </c>
      <c r="D8" s="3" t="s">
        <v>33</v>
      </c>
      <c r="E8" s="5" t="s">
        <v>71</v>
      </c>
      <c r="F8" s="3" t="s">
        <v>73</v>
      </c>
      <c r="G8" s="5"/>
      <c r="H8" s="5"/>
      <c r="I8" s="3"/>
      <c r="J8" s="5"/>
      <c r="K8" s="3" t="s">
        <v>38</v>
      </c>
    </row>
    <row r="9" spans="1:11" x14ac:dyDescent="0.3">
      <c r="A9" s="7" t="s">
        <v>40</v>
      </c>
      <c r="B9" s="7" t="s">
        <v>99</v>
      </c>
      <c r="C9" s="3" t="s">
        <v>74</v>
      </c>
      <c r="D9" s="3" t="s">
        <v>33</v>
      </c>
      <c r="E9" s="5" t="s">
        <v>71</v>
      </c>
      <c r="F9" s="3" t="s">
        <v>74</v>
      </c>
      <c r="G9" s="5"/>
      <c r="H9" s="5"/>
      <c r="I9" s="3"/>
      <c r="J9" s="5"/>
      <c r="K9" s="3" t="s">
        <v>38</v>
      </c>
    </row>
    <row r="10" spans="1:11" x14ac:dyDescent="0.3">
      <c r="A10" s="7" t="s">
        <v>40</v>
      </c>
      <c r="B10" s="7" t="s">
        <v>99</v>
      </c>
      <c r="C10" s="3" t="s">
        <v>75</v>
      </c>
      <c r="D10" s="3" t="s">
        <v>33</v>
      </c>
      <c r="E10" s="5" t="s">
        <v>71</v>
      </c>
      <c r="F10" s="3" t="s">
        <v>75</v>
      </c>
      <c r="G10" s="5"/>
      <c r="H10" s="5"/>
      <c r="I10" s="3"/>
      <c r="J10" s="5"/>
      <c r="K10" s="3" t="s">
        <v>38</v>
      </c>
    </row>
    <row r="11" spans="1:11" x14ac:dyDescent="0.3">
      <c r="A11" s="7" t="s">
        <v>40</v>
      </c>
      <c r="B11" s="7" t="s">
        <v>99</v>
      </c>
      <c r="C11" s="3" t="s">
        <v>76</v>
      </c>
      <c r="D11" s="3" t="s">
        <v>33</v>
      </c>
      <c r="E11" s="5" t="s">
        <v>71</v>
      </c>
      <c r="F11" s="3" t="s">
        <v>76</v>
      </c>
      <c r="G11" s="5"/>
      <c r="H11" s="5"/>
      <c r="I11" s="3"/>
      <c r="J11" s="5"/>
      <c r="K11" s="3"/>
    </row>
    <row r="12" spans="1:11" x14ac:dyDescent="0.3">
      <c r="A12" s="7" t="s">
        <v>40</v>
      </c>
      <c r="B12" s="7" t="s">
        <v>99</v>
      </c>
      <c r="C12" s="3" t="s">
        <v>77</v>
      </c>
      <c r="D12" s="3" t="s">
        <v>33</v>
      </c>
      <c r="E12" s="5" t="s">
        <v>71</v>
      </c>
      <c r="F12" s="3" t="s">
        <v>77</v>
      </c>
      <c r="G12" s="5"/>
      <c r="H12" s="5"/>
      <c r="I12" s="3"/>
      <c r="J12" s="5"/>
      <c r="K12" s="3"/>
    </row>
    <row r="13" spans="1:11" x14ac:dyDescent="0.3">
      <c r="A13" s="7" t="s">
        <v>40</v>
      </c>
      <c r="B13" s="7" t="s">
        <v>99</v>
      </c>
      <c r="C13" s="3" t="s">
        <v>78</v>
      </c>
      <c r="D13" s="3" t="s">
        <v>33</v>
      </c>
      <c r="E13" s="5" t="s">
        <v>71</v>
      </c>
      <c r="F13" s="3" t="s">
        <v>78</v>
      </c>
      <c r="G13" s="5"/>
      <c r="H13" s="5"/>
      <c r="I13" s="3"/>
      <c r="J13" s="5"/>
      <c r="K13" s="3"/>
    </row>
    <row r="14" spans="1:11" x14ac:dyDescent="0.3">
      <c r="A14" s="7" t="s">
        <v>40</v>
      </c>
      <c r="B14" s="7" t="s">
        <v>99</v>
      </c>
      <c r="C14" s="3" t="s">
        <v>79</v>
      </c>
      <c r="D14" s="3" t="s">
        <v>33</v>
      </c>
      <c r="E14" s="5" t="s">
        <v>71</v>
      </c>
      <c r="F14" s="3" t="s">
        <v>79</v>
      </c>
      <c r="G14" s="5"/>
      <c r="H14" s="5"/>
      <c r="I14" s="3"/>
      <c r="J14" s="15"/>
      <c r="K14" s="3"/>
    </row>
    <row r="15" spans="1:11" ht="60" x14ac:dyDescent="0.3">
      <c r="A15" s="7" t="s">
        <v>40</v>
      </c>
      <c r="B15" s="7" t="s">
        <v>99</v>
      </c>
      <c r="C15" s="3" t="s">
        <v>79</v>
      </c>
      <c r="D15" s="3" t="s">
        <v>33</v>
      </c>
      <c r="E15" s="5" t="s">
        <v>71</v>
      </c>
      <c r="F15" s="3" t="s">
        <v>80</v>
      </c>
      <c r="G15" s="5"/>
      <c r="H15" s="5"/>
      <c r="I15" s="3"/>
      <c r="J15" s="15" t="s">
        <v>81</v>
      </c>
      <c r="K15" s="3"/>
    </row>
    <row r="16" spans="1:11" x14ac:dyDescent="0.3">
      <c r="A16" s="7" t="s">
        <v>40</v>
      </c>
      <c r="B16" s="7" t="s">
        <v>99</v>
      </c>
      <c r="C16" s="3" t="s">
        <v>82</v>
      </c>
      <c r="D16" s="3" t="s">
        <v>33</v>
      </c>
      <c r="E16" s="5" t="s">
        <v>71</v>
      </c>
      <c r="F16" s="3" t="s">
        <v>82</v>
      </c>
      <c r="G16" s="5"/>
      <c r="H16" s="5"/>
      <c r="I16" s="3"/>
      <c r="J16" s="5"/>
      <c r="K16" s="3"/>
    </row>
    <row r="17" spans="1:11" x14ac:dyDescent="0.3">
      <c r="A17" s="7" t="s">
        <v>40</v>
      </c>
      <c r="B17" s="7" t="s">
        <v>99</v>
      </c>
      <c r="C17" s="3" t="s">
        <v>83</v>
      </c>
      <c r="D17" s="3" t="s">
        <v>33</v>
      </c>
      <c r="E17" s="5" t="s">
        <v>71</v>
      </c>
      <c r="F17" s="3" t="s">
        <v>83</v>
      </c>
      <c r="G17" s="5"/>
      <c r="H17" s="5"/>
      <c r="I17" s="3"/>
      <c r="J17" s="5"/>
      <c r="K17" s="3"/>
    </row>
    <row r="18" spans="1:11" x14ac:dyDescent="0.3">
      <c r="A18" s="7" t="s">
        <v>40</v>
      </c>
      <c r="B18" s="7" t="s">
        <v>99</v>
      </c>
      <c r="C18" s="3" t="s">
        <v>84</v>
      </c>
      <c r="D18" s="3" t="s">
        <v>33</v>
      </c>
      <c r="E18" s="5" t="s">
        <v>71</v>
      </c>
      <c r="F18" s="3" t="s">
        <v>84</v>
      </c>
      <c r="G18" s="5"/>
      <c r="H18" s="5"/>
      <c r="I18" s="3"/>
      <c r="J18" s="15"/>
      <c r="K18" s="3"/>
    </row>
    <row r="19" spans="1:11" x14ac:dyDescent="0.3">
      <c r="A19" s="7" t="s">
        <v>40</v>
      </c>
      <c r="B19" s="7" t="s">
        <v>99</v>
      </c>
      <c r="C19" s="3" t="s">
        <v>85</v>
      </c>
      <c r="D19" s="3" t="s">
        <v>33</v>
      </c>
      <c r="E19" s="5" t="s">
        <v>71</v>
      </c>
      <c r="F19" s="3" t="s">
        <v>85</v>
      </c>
      <c r="G19" s="5"/>
      <c r="H19" s="5"/>
      <c r="I19" s="3"/>
      <c r="J19" s="5"/>
      <c r="K19" s="3"/>
    </row>
    <row r="20" spans="1:11" x14ac:dyDescent="0.3">
      <c r="A20" s="7" t="s">
        <v>40</v>
      </c>
      <c r="B20" s="7" t="s">
        <v>99</v>
      </c>
      <c r="C20" s="3" t="s">
        <v>86</v>
      </c>
      <c r="D20" s="3" t="s">
        <v>33</v>
      </c>
      <c r="E20" s="5" t="s">
        <v>71</v>
      </c>
      <c r="F20" s="3" t="s">
        <v>86</v>
      </c>
      <c r="G20" s="5"/>
      <c r="H20" s="5"/>
      <c r="I20" s="3"/>
      <c r="J20" s="5"/>
      <c r="K20" s="3"/>
    </row>
    <row r="21" spans="1:11" x14ac:dyDescent="0.3">
      <c r="A21" s="7" t="s">
        <v>40</v>
      </c>
      <c r="B21" s="7" t="s">
        <v>99</v>
      </c>
      <c r="C21" s="3" t="s">
        <v>87</v>
      </c>
      <c r="D21" s="3" t="s">
        <v>33</v>
      </c>
      <c r="E21" s="5" t="s">
        <v>71</v>
      </c>
      <c r="F21" s="3" t="s">
        <v>87</v>
      </c>
      <c r="G21" s="5"/>
      <c r="H21" s="5"/>
      <c r="I21" s="3"/>
      <c r="J21" s="5"/>
      <c r="K21" s="3"/>
    </row>
    <row r="22" spans="1:11" x14ac:dyDescent="0.3">
      <c r="A22" s="7" t="s">
        <v>40</v>
      </c>
      <c r="B22" s="7" t="s">
        <v>99</v>
      </c>
      <c r="C22" s="3" t="s">
        <v>88</v>
      </c>
      <c r="D22" s="3" t="s">
        <v>33</v>
      </c>
      <c r="E22" s="5" t="s">
        <v>71</v>
      </c>
      <c r="F22" s="3" t="s">
        <v>88</v>
      </c>
      <c r="G22" s="5"/>
      <c r="H22" s="5"/>
      <c r="I22" s="3"/>
      <c r="J22" s="5"/>
      <c r="K22" s="3"/>
    </row>
    <row r="23" spans="1:11" x14ac:dyDescent="0.3">
      <c r="A23" s="7" t="s">
        <v>40</v>
      </c>
      <c r="B23" s="7" t="s">
        <v>99</v>
      </c>
      <c r="C23" s="3" t="s">
        <v>89</v>
      </c>
      <c r="D23" s="3" t="s">
        <v>33</v>
      </c>
      <c r="E23" s="5" t="s">
        <v>71</v>
      </c>
      <c r="F23" s="3" t="s">
        <v>89</v>
      </c>
      <c r="G23" s="5"/>
      <c r="H23" s="5"/>
      <c r="I23" s="3"/>
      <c r="J23" s="5"/>
      <c r="K23" s="3"/>
    </row>
    <row r="24" spans="1:11" x14ac:dyDescent="0.3">
      <c r="A24" s="7" t="s">
        <v>40</v>
      </c>
      <c r="B24" s="7" t="s">
        <v>99</v>
      </c>
      <c r="C24" s="3" t="s">
        <v>90</v>
      </c>
      <c r="D24" s="3" t="s">
        <v>33</v>
      </c>
      <c r="E24" s="5" t="s">
        <v>71</v>
      </c>
      <c r="F24" s="3" t="s">
        <v>90</v>
      </c>
      <c r="G24" s="5"/>
      <c r="H24" s="5"/>
      <c r="I24" s="3"/>
      <c r="J24" s="5"/>
      <c r="K24" s="3"/>
    </row>
    <row r="25" spans="1:11" x14ac:dyDescent="0.3">
      <c r="A25" s="7" t="s">
        <v>40</v>
      </c>
      <c r="B25" s="7" t="s">
        <v>99</v>
      </c>
      <c r="C25" s="3" t="s">
        <v>91</v>
      </c>
      <c r="D25" s="3" t="s">
        <v>33</v>
      </c>
      <c r="E25" s="5" t="s">
        <v>71</v>
      </c>
      <c r="F25" s="3" t="s">
        <v>91</v>
      </c>
      <c r="G25" s="5"/>
      <c r="H25" s="5"/>
      <c r="I25" s="3"/>
      <c r="J25" s="5"/>
      <c r="K25" s="3"/>
    </row>
    <row r="26" spans="1:11" x14ac:dyDescent="0.3">
      <c r="A26" s="7" t="s">
        <v>40</v>
      </c>
      <c r="B26" s="7" t="s">
        <v>99</v>
      </c>
      <c r="C26" s="3" t="s">
        <v>92</v>
      </c>
      <c r="D26" s="3" t="s">
        <v>33</v>
      </c>
      <c r="E26" s="5" t="s">
        <v>71</v>
      </c>
      <c r="F26" s="3" t="s">
        <v>92</v>
      </c>
      <c r="G26" s="5"/>
      <c r="H26" s="5"/>
      <c r="I26" s="3"/>
      <c r="J26" s="5"/>
      <c r="K26" s="3"/>
    </row>
    <row r="27" spans="1:11" x14ac:dyDescent="0.3">
      <c r="A27" s="7" t="s">
        <v>40</v>
      </c>
      <c r="B27" s="7" t="s">
        <v>99</v>
      </c>
      <c r="C27" s="3" t="s">
        <v>93</v>
      </c>
      <c r="D27" s="3" t="s">
        <v>33</v>
      </c>
      <c r="E27" s="5" t="s">
        <v>71</v>
      </c>
      <c r="F27" s="3" t="s">
        <v>93</v>
      </c>
      <c r="G27" s="5"/>
      <c r="H27" s="5"/>
      <c r="I27" s="3"/>
      <c r="J27" s="5"/>
      <c r="K27" s="3"/>
    </row>
    <row r="28" spans="1:11" x14ac:dyDescent="0.3">
      <c r="A28" s="7" t="s">
        <v>40</v>
      </c>
      <c r="B28" s="7" t="s">
        <v>99</v>
      </c>
      <c r="C28" s="3" t="s">
        <v>94</v>
      </c>
      <c r="D28" s="3" t="s">
        <v>33</v>
      </c>
      <c r="E28" s="5" t="s">
        <v>71</v>
      </c>
      <c r="F28" s="3" t="s">
        <v>94</v>
      </c>
      <c r="G28" s="5"/>
      <c r="H28" s="5"/>
      <c r="I28" s="3"/>
      <c r="J28" s="5"/>
      <c r="K28" s="3"/>
    </row>
    <row r="29" spans="1:11" ht="288" x14ac:dyDescent="0.3">
      <c r="A29" s="7" t="s">
        <v>40</v>
      </c>
      <c r="B29" s="7" t="s">
        <v>99</v>
      </c>
      <c r="C29" s="3"/>
      <c r="D29" s="3" t="s">
        <v>33</v>
      </c>
      <c r="E29" s="5" t="s">
        <v>71</v>
      </c>
      <c r="F29" s="3" t="s">
        <v>95</v>
      </c>
      <c r="G29" s="5"/>
      <c r="H29" s="5"/>
      <c r="I29" s="3"/>
      <c r="J29" s="15" t="s">
        <v>96</v>
      </c>
      <c r="K29" s="3"/>
    </row>
    <row r="30" spans="1:11" ht="288" x14ac:dyDescent="0.3">
      <c r="A30" s="7" t="s">
        <v>40</v>
      </c>
      <c r="B30" s="7" t="s">
        <v>99</v>
      </c>
      <c r="C30" s="3"/>
      <c r="D30" s="3" t="s">
        <v>33</v>
      </c>
      <c r="E30" s="5" t="s">
        <v>71</v>
      </c>
      <c r="F30" s="3" t="s">
        <v>97</v>
      </c>
      <c r="G30" s="5"/>
      <c r="H30" s="5"/>
      <c r="I30" s="3"/>
      <c r="J30" s="15" t="s">
        <v>98</v>
      </c>
      <c r="K30" s="3"/>
    </row>
    <row r="31" spans="1:11" x14ac:dyDescent="0.3">
      <c r="A31" s="4"/>
      <c r="B31" s="4"/>
      <c r="C31" s="4"/>
      <c r="D31" s="3" t="s">
        <v>33</v>
      </c>
      <c r="E31" s="5" t="s">
        <v>71</v>
      </c>
      <c r="F31" s="3" t="s">
        <v>56</v>
      </c>
      <c r="G31" s="3" t="s">
        <v>57</v>
      </c>
      <c r="H31" s="3" t="s">
        <v>37</v>
      </c>
      <c r="I31" s="3" t="s">
        <v>38</v>
      </c>
      <c r="J31" s="5" t="s">
        <v>58</v>
      </c>
      <c r="K31" s="3" t="s">
        <v>38</v>
      </c>
    </row>
    <row r="32" spans="1:11" x14ac:dyDescent="0.3">
      <c r="A32" s="4"/>
      <c r="B32" s="4"/>
      <c r="C32" s="4"/>
      <c r="D32" s="3" t="s">
        <v>33</v>
      </c>
      <c r="E32" s="5" t="s">
        <v>71</v>
      </c>
      <c r="F32" s="3" t="s">
        <v>59</v>
      </c>
      <c r="G32" s="3" t="s">
        <v>60</v>
      </c>
      <c r="H32" s="3" t="s">
        <v>61</v>
      </c>
      <c r="I32" s="3" t="s">
        <v>38</v>
      </c>
      <c r="J32" s="3" t="s">
        <v>62</v>
      </c>
      <c r="K32" s="3" t="s">
        <v>38</v>
      </c>
    </row>
    <row r="33" spans="1:11" x14ac:dyDescent="0.3">
      <c r="A33" s="4"/>
      <c r="B33" s="4"/>
      <c r="C33" s="4"/>
      <c r="D33" s="3" t="s">
        <v>33</v>
      </c>
      <c r="E33" s="5" t="s">
        <v>71</v>
      </c>
      <c r="F33" s="3" t="s">
        <v>63</v>
      </c>
      <c r="G33" s="3" t="s">
        <v>64</v>
      </c>
      <c r="H33" s="3" t="s">
        <v>37</v>
      </c>
      <c r="I33" s="8" t="s">
        <v>38</v>
      </c>
      <c r="J33" s="3" t="s">
        <v>65</v>
      </c>
      <c r="K33" s="8" t="s">
        <v>38</v>
      </c>
    </row>
    <row r="34" spans="1:11" x14ac:dyDescent="0.3">
      <c r="A34" s="4"/>
      <c r="B34" s="4"/>
      <c r="C34" s="4"/>
      <c r="D34" s="3" t="s">
        <v>33</v>
      </c>
      <c r="E34" s="5" t="s">
        <v>71</v>
      </c>
      <c r="F34" s="3" t="s">
        <v>66</v>
      </c>
      <c r="G34" s="3" t="s">
        <v>67</v>
      </c>
      <c r="H34" s="3" t="s">
        <v>37</v>
      </c>
      <c r="I34" s="8" t="s">
        <v>38</v>
      </c>
      <c r="J34" s="3" t="s">
        <v>68</v>
      </c>
      <c r="K34" s="8" t="s">
        <v>38</v>
      </c>
    </row>
    <row r="91" spans="5:5" x14ac:dyDescent="0.3">
      <c r="E91" s="1" t="s">
        <v>69</v>
      </c>
    </row>
    <row r="92" spans="5:5" x14ac:dyDescent="0.3">
      <c r="E92" s="1" t="s">
        <v>70</v>
      </c>
    </row>
  </sheetData>
  <autoFilter ref="A4:K4" xr:uid="{58DDDDE8-4215-4EB6-A08E-09D8234EAD1A}"/>
  <mergeCells count="2">
    <mergeCell ref="A3:C3"/>
    <mergeCell ref="D3:K3"/>
  </mergeCells>
  <hyperlinks>
    <hyperlink ref="A1" location="Home!B1" display="RETURN TO HOME" xr:uid="{EB00B817-6859-4B92-A26E-5DF805DF6A9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990aac-83e6-4599-8d1c-3554e632ffee">
      <Terms xmlns="http://schemas.microsoft.com/office/infopath/2007/PartnerControls"/>
    </lcf76f155ced4ddcb4097134ff3c332f>
    <TaxCatchAll xmlns="cf83fe79-20dd-4075-9c16-9168a91bda1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BE49E7359B8F49ABC84425AF6B3946" ma:contentTypeVersion="15" ma:contentTypeDescription="Create a new document." ma:contentTypeScope="" ma:versionID="783c44250ca2f7c43f943e4cc21b2e2d">
  <xsd:schema xmlns:xsd="http://www.w3.org/2001/XMLSchema" xmlns:xs="http://www.w3.org/2001/XMLSchema" xmlns:p="http://schemas.microsoft.com/office/2006/metadata/properties" xmlns:ns2="f78145ab-c10b-4833-841c-c09ebc9d8f15" xmlns:ns3="39990aac-83e6-4599-8d1c-3554e632ffee" xmlns:ns4="cf83fe79-20dd-4075-9c16-9168a91bda1d" targetNamespace="http://schemas.microsoft.com/office/2006/metadata/properties" ma:root="true" ma:fieldsID="42468ef7d301727a23cd39500e12885f" ns2:_="" ns3:_="" ns4:_="">
    <xsd:import namespace="f78145ab-c10b-4833-841c-c09ebc9d8f15"/>
    <xsd:import namespace="39990aac-83e6-4599-8d1c-3554e632ffee"/>
    <xsd:import namespace="cf83fe79-20dd-4075-9c16-9168a91bda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8145ab-c10b-4833-841c-c09ebc9d8f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90aac-83e6-4599-8d1c-3554e632ff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c7cd8e4-056a-4b9a-a096-56d591af4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3fe79-20dd-4075-9c16-9168a91bda1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934e86-7ea3-412a-ae37-edc9c736d31f}" ma:internalName="TaxCatchAll" ma:showField="CatchAllData" ma:web="cf83fe79-20dd-4075-9c16-9168a91bda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E6AA08-959A-4B0A-95BF-FFFD1D3B0D0B}">
  <ds:schemaRefs>
    <ds:schemaRef ds:uri="http://schemas.microsoft.com/office/2006/metadata/properties"/>
    <ds:schemaRef ds:uri="http://schemas.microsoft.com/office/infopath/2007/PartnerControls"/>
    <ds:schemaRef ds:uri="494c9eb2-fe76-4dc1-af19-dd5dd2c68e06"/>
    <ds:schemaRef ds:uri="1913c094-22dd-4544-b7b0-47d97695d9bf"/>
  </ds:schemaRefs>
</ds:datastoreItem>
</file>

<file path=customXml/itemProps2.xml><?xml version="1.0" encoding="utf-8"?>
<ds:datastoreItem xmlns:ds="http://schemas.openxmlformats.org/officeDocument/2006/customXml" ds:itemID="{3E49756D-7ADB-4DF8-BD6E-9961D4F2FC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6402DD-E2FB-4E0A-8610-E87CCA145BE7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FACT_MASTER_CLAIM</vt:lpstr>
      <vt:lpstr>FACT_CLAIM_HEALTH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Rosalina, Rosalina</cp:lastModifiedBy>
  <cp:revision/>
  <dcterms:created xsi:type="dcterms:W3CDTF">2026-07-16T07:04:43Z</dcterms:created>
  <dcterms:modified xsi:type="dcterms:W3CDTF">2026-08-21T08:48:34Z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0x01010014BE49E7359B8F49ABC84425AF6B3946</vt:lpwstr>
  </property>
  <property fmtid="{D5CDD505-2E9C-101B-9397-08002B2CF9AE}" pid="3" name="MediaServiceImageTags">
    <vt:lpwstr/>
  </property>
  <property fmtid="{D5CDD505-2E9C-101B-9397-08002B2CF9AE}" pid="4" name="WorkbookGuid">
    <vt:lpwstr>b4462983-c556-4780-8e7c-6fdd34cf957b</vt:lpwstr>
  </property>
</Properties>
</file>